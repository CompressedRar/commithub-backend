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horizontal="left" vertical="center" wrapText="1"/>
    </xf>
    <xf numFmtId="0" fontId="10" fillId="0" borderId="67" pivotButton="0" quotePrefix="0" xfId="0"/>
    <xf numFmtId="0" fontId="0" fillId="0" borderId="67" applyAlignment="1" pivotButton="0" quotePrefix="0" xfId="0">
      <alignment horizontal="center" vertical="center" wrapText="1"/>
    </xf>
    <xf numFmtId="0" fontId="0" fillId="0" borderId="67" applyAlignment="1" pivotButton="0" quotePrefix="0" xfId="0">
      <alignment horizontal="left" vertical="center" wrapText="1"/>
    </xf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Ken Jhon Emil Navos, Instructor I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JANUARY - JUNE 2026.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Ken Jhon Emil Navos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Instructor I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Dr. Ma. Liberty DG. Pascual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College President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Scholarship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Scholarship Inquiries</t>
        </is>
      </c>
      <c r="B27" s="112" t="n"/>
      <c r="C27" s="112" t="n"/>
      <c r="D27" s="114" t="n">
        <v>200</v>
      </c>
      <c r="E27" s="115" t="inlineStr">
        <is>
          <t>process scholarship inquiries and paper</t>
        </is>
      </c>
      <c r="F27" s="112" t="n"/>
      <c r="G27" s="112" t="n"/>
      <c r="H27" s="113" t="n">
        <v>0</v>
      </c>
      <c r="I27" s="113" t="inlineStr"/>
      <c r="J27" s="114" t="n">
        <v>0</v>
      </c>
      <c r="K27" s="115" t="inlineStr">
        <is>
          <t>processed scholarship inquiries and paper</t>
        </is>
      </c>
      <c r="L27" s="112" t="n"/>
      <c r="M27" s="112" t="n"/>
      <c r="N27" s="114" t="n">
        <v>0</v>
      </c>
      <c r="O27" s="114" t="n">
        <v>0</v>
      </c>
      <c r="P27" s="114" t="n">
        <v>0</v>
      </c>
      <c r="Q27" s="114" t="n">
        <v>0</v>
      </c>
      <c r="R27" s="114">
        <f>IF(AND(0&gt;=0, 0&lt;=1.49), "POOR", IF(AND(0&gt;=4.5, 0&lt;=5), "OUTSTANDING", IF(AND(0&gt;=2.5, 0&lt;=3.49), "SATISFACTORY", IF(AND(0&gt;=1.5, 0&lt;=2.49), "UNSATISFACTORY", IF(AND(0&gt;=3.5, 0&lt;=4.49), "VERY SATISFACTORY", "UNRATED")))))</f>
        <v/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2</v>
      </c>
      <c r="E29" s="115" t="inlineStr">
        <is>
          <t>month spent</t>
        </is>
      </c>
      <c r="F29" s="112" t="n"/>
      <c r="G29" s="112" t="n"/>
      <c r="H29" s="112" t="n"/>
      <c r="I29" s="112" t="n"/>
      <c r="J29" s="114" t="n">
        <v>0</v>
      </c>
      <c r="K29" s="115" t="inlineStr">
        <is>
          <t>month spent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2</v>
      </c>
      <c r="E31" s="115" t="inlineStr">
        <is>
          <t>correction</t>
        </is>
      </c>
      <c r="F31" s="112" t="n"/>
      <c r="G31" s="112" t="n"/>
      <c r="H31" s="112" t="n"/>
      <c r="I31" s="112" t="n"/>
      <c r="J31" s="116" t="n">
        <v>0</v>
      </c>
      <c r="K31" s="117" t="inlineStr">
        <is>
          <t>correction/s in average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14.25" customHeight="1" s="73">
      <c r="A33" s="118" t="inlineStr">
        <is>
          <t>School Leadership and Management Services</t>
        </is>
      </c>
      <c r="B33" s="112" t="n"/>
      <c r="C33" s="112" t="n"/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</row>
    <row r="34" ht="45" customHeight="1" s="73">
      <c r="A34" s="119" t="inlineStr">
        <is>
          <t>Board of Trustees Meeting</t>
        </is>
      </c>
      <c r="B34" s="112" t="n"/>
      <c r="C34" s="112" t="n"/>
      <c r="D34" s="116" t="n">
        <v>2</v>
      </c>
      <c r="E34" s="120" t="inlineStr">
        <is>
          <t>meet with board of trustees commitee</t>
        </is>
      </c>
      <c r="F34" s="112" t="n"/>
      <c r="G34" s="112" t="n"/>
      <c r="H34" s="119" t="n">
        <v>0</v>
      </c>
      <c r="I34" s="119" t="inlineStr">
        <is>
          <t xml:space="preserve">Jiovanni M. Pareja
</t>
        </is>
      </c>
      <c r="J34" s="116" t="n">
        <v>0</v>
      </c>
      <c r="K34" s="120" t="inlineStr">
        <is>
          <t>met with board of trustees committee</t>
        </is>
      </c>
      <c r="L34" s="112" t="n"/>
      <c r="M34" s="112" t="n"/>
      <c r="N34" s="116" t="n">
        <v>0</v>
      </c>
      <c r="O34" s="116" t="n">
        <v>0</v>
      </c>
      <c r="P34" s="116" t="n">
        <v>0</v>
      </c>
      <c r="Q34" s="116" t="n">
        <v>0</v>
      </c>
      <c r="R34" s="116">
        <f>IF(AND(0&gt;=0, 0&lt;=1.49), "POOR", IF(AND(0&gt;=4.5, 0&lt;=5), "OUTSTANDING", IF(AND(0&gt;=2.5, 0&lt;=3.49), "SATISFACTORY", IF(AND(0&gt;=1.5, 0&lt;=2.49), "UNSATISFACTORY", IF(AND(0&gt;=3.5, 0&lt;=4.49), "VERY SATISFACTORY", "UNRATED")))))</f>
        <v/>
      </c>
      <c r="S34" s="112" t="n"/>
    </row>
    <row r="35" ht="14.25" customHeight="1" s="73">
      <c r="A35" s="112" t="n"/>
      <c r="B35" s="112" t="n"/>
      <c r="C35" s="112" t="n"/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</row>
    <row r="36" ht="14.25" customHeight="1" s="73">
      <c r="A36" s="112" t="n"/>
      <c r="B36" s="112" t="n"/>
      <c r="C36" s="112" t="n"/>
      <c r="D36" s="116" t="n">
        <v>2</v>
      </c>
      <c r="E36" s="120" t="inlineStr">
        <is>
          <t>day spent</t>
        </is>
      </c>
      <c r="F36" s="112" t="n"/>
      <c r="G36" s="112" t="n"/>
      <c r="H36" s="112" t="n"/>
      <c r="I36" s="112" t="n"/>
      <c r="J36" s="116" t="n">
        <v>0</v>
      </c>
      <c r="K36" s="120" t="inlineStr">
        <is>
          <t>day spent</t>
        </is>
      </c>
      <c r="L36" s="112" t="n"/>
      <c r="M36" s="112" t="n"/>
      <c r="N36" s="112" t="n"/>
      <c r="O36" s="112" t="n"/>
      <c r="P36" s="112" t="n"/>
      <c r="Q36" s="112" t="n"/>
      <c r="R36" s="112" t="n"/>
      <c r="S36" s="112" t="n"/>
    </row>
    <row r="37" ht="14.25" customHeight="1" s="73">
      <c r="A37" s="112" t="n"/>
      <c r="B37" s="112" t="n"/>
      <c r="C37" s="112" t="n"/>
      <c r="D37" s="112" t="n"/>
      <c r="E37" s="112" t="n"/>
      <c r="F37" s="112" t="n"/>
      <c r="G37" s="112" t="n"/>
      <c r="H37" s="112" t="n"/>
      <c r="I37" s="112" t="n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</row>
    <row r="38" ht="14.25" customHeight="1" s="73">
      <c r="A38" s="112" t="n"/>
      <c r="B38" s="112" t="n"/>
      <c r="C38" s="112" t="n"/>
      <c r="D38" s="116" t="n">
        <v>0</v>
      </c>
      <c r="E38" s="120" t="inlineStr">
        <is>
          <t>correction</t>
        </is>
      </c>
      <c r="F38" s="112" t="n"/>
      <c r="G38" s="112" t="n"/>
      <c r="H38" s="112" t="n"/>
      <c r="I38" s="112" t="n"/>
      <c r="J38" s="116" t="n">
        <v>0</v>
      </c>
      <c r="K38" s="120" t="inlineStr">
        <is>
          <t>correction/s in average</t>
        </is>
      </c>
      <c r="L38" s="112" t="n"/>
      <c r="M38" s="112" t="n"/>
      <c r="N38" s="112" t="n"/>
      <c r="O38" s="112" t="n"/>
      <c r="P38" s="112" t="n"/>
      <c r="Q38" s="112" t="n"/>
      <c r="R38" s="112" t="n"/>
      <c r="S38" s="112" t="n"/>
    </row>
    <row r="39" ht="14.25" customHeight="1" s="73">
      <c r="A39" s="112" t="n"/>
      <c r="B39" s="112" t="n"/>
      <c r="C39" s="112" t="n"/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</row>
    <row r="40" ht="45" customHeight="1" s="73">
      <c r="A40" s="119" t="inlineStr">
        <is>
          <t>Accomplishment Report</t>
        </is>
      </c>
      <c r="B40" s="112" t="n"/>
      <c r="C40" s="112" t="n"/>
      <c r="D40" s="116" t="n">
        <v>2</v>
      </c>
      <c r="E40" s="120" t="inlineStr">
        <is>
          <t>Prepare and submit Monthly Accomplishment Report to the Office of the President</t>
        </is>
      </c>
      <c r="F40" s="112" t="n"/>
      <c r="G40" s="112" t="n"/>
      <c r="H40" s="119" t="n">
        <v>0</v>
      </c>
      <c r="I40" s="119" t="inlineStr"/>
      <c r="J40" s="116" t="n">
        <v>0</v>
      </c>
      <c r="K40" s="120" t="inlineStr">
        <is>
          <t>Prepared and submitted Monthly Accomplishment Report to the Office of the President</t>
        </is>
      </c>
      <c r="L40" s="112" t="n"/>
      <c r="M40" s="112" t="n"/>
      <c r="N40" s="116" t="n">
        <v>0</v>
      </c>
      <c r="O40" s="116" t="n">
        <v>0</v>
      </c>
      <c r="P40" s="116" t="n">
        <v>0</v>
      </c>
      <c r="Q40" s="116" t="n">
        <v>0</v>
      </c>
      <c r="R40" s="116">
        <f>IF(AND(0&gt;=0, 0&lt;=1.49), "POOR", IF(AND(0&gt;=4.5, 0&lt;=5), "OUTSTANDING", IF(AND(0&gt;=2.5, 0&lt;=3.49), "SATISFACTORY", IF(AND(0&gt;=1.5, 0&lt;=2.49), "UNSATISFACTORY", IF(AND(0&gt;=3.5, 0&lt;=4.49), "VERY SATISFACTORY", "UNRATED")))))</f>
        <v/>
      </c>
      <c r="S40" s="112" t="n"/>
    </row>
    <row r="41" ht="14.25" customHeight="1" s="73">
      <c r="A41" s="112" t="n"/>
      <c r="B41" s="112" t="n"/>
      <c r="C41" s="112" t="n"/>
      <c r="D41" s="112" t="n"/>
      <c r="E41" s="112" t="n"/>
      <c r="F41" s="112" t="n"/>
      <c r="G41" s="112" t="n"/>
      <c r="H41" s="112" t="n"/>
      <c r="I41" s="112" t="n"/>
      <c r="J41" s="112" t="n"/>
      <c r="K41" s="112" t="n"/>
      <c r="L41" s="112" t="n"/>
      <c r="M41" s="112" t="n"/>
      <c r="N41" s="112" t="n"/>
      <c r="O41" s="112" t="n"/>
      <c r="P41" s="112" t="n"/>
      <c r="Q41" s="112" t="n"/>
      <c r="R41" s="112" t="n"/>
      <c r="S41" s="112" t="n"/>
    </row>
    <row r="42" ht="14.25" customHeight="1" s="73">
      <c r="A42" s="112" t="n"/>
      <c r="B42" s="112" t="n"/>
      <c r="C42" s="112" t="n"/>
      <c r="D42" s="116" t="inlineStr"/>
      <c r="E42" s="120" t="inlineStr">
        <is>
          <t>on the set deadline</t>
        </is>
      </c>
      <c r="F42" s="112" t="n"/>
      <c r="G42" s="112" t="n"/>
      <c r="H42" s="112" t="n"/>
      <c r="I42" s="112" t="n"/>
      <c r="J42" s="116" t="n">
        <v>0</v>
      </c>
      <c r="K42" s="120" t="inlineStr">
        <is>
          <t>on the set deadline</t>
        </is>
      </c>
      <c r="L42" s="112" t="n"/>
      <c r="M42" s="112" t="n"/>
      <c r="N42" s="112" t="n"/>
      <c r="O42" s="112" t="n"/>
      <c r="P42" s="112" t="n"/>
      <c r="Q42" s="112" t="n"/>
      <c r="R42" s="112" t="n"/>
      <c r="S42" s="112" t="n"/>
    </row>
    <row r="43" ht="14.25" customHeight="1" s="73">
      <c r="A43" s="112" t="n"/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</row>
    <row r="44" ht="14.25" customHeight="1" s="73">
      <c r="A44" s="112" t="n"/>
      <c r="B44" s="112" t="n"/>
      <c r="C44" s="112" t="n"/>
      <c r="D44" s="116" t="n">
        <v>2</v>
      </c>
      <c r="E44" s="120" t="inlineStr">
        <is>
          <t>error</t>
        </is>
      </c>
      <c r="F44" s="112" t="n"/>
      <c r="G44" s="112" t="n"/>
      <c r="H44" s="112" t="n"/>
      <c r="I44" s="112" t="n"/>
      <c r="J44" s="116" t="n">
        <v>0</v>
      </c>
      <c r="K44" s="120" t="inlineStr">
        <is>
          <t>error/s in average</t>
        </is>
      </c>
      <c r="L44" s="112" t="n"/>
      <c r="M44" s="112" t="n"/>
      <c r="N44" s="112" t="n"/>
      <c r="O44" s="112" t="n"/>
      <c r="P44" s="112" t="n"/>
      <c r="Q44" s="112" t="n"/>
      <c r="R44" s="112" t="n"/>
      <c r="S44" s="112" t="n"/>
    </row>
    <row r="45" ht="14.25" customHeight="1" s="73">
      <c r="A45" s="112" t="n"/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</row>
    <row r="46" ht="45" customHeight="1" s="73">
      <c r="A46" s="119" t="inlineStr">
        <is>
          <t>Book Acquisition</t>
        </is>
      </c>
      <c r="B46" s="112" t="n"/>
      <c r="C46" s="112" t="n"/>
      <c r="D46" s="116" t="n">
        <v>200</v>
      </c>
      <c r="E46" s="120" t="inlineStr">
        <is>
          <t>Acquire new books for the library collections and process papers</t>
        </is>
      </c>
      <c r="F46" s="112" t="n"/>
      <c r="G46" s="112" t="n"/>
      <c r="H46" s="119" t="n">
        <v>0</v>
      </c>
      <c r="I46" s="119" t="inlineStr"/>
      <c r="J46" s="116" t="n">
        <v>0</v>
      </c>
      <c r="K46" s="120" t="inlineStr">
        <is>
          <t>Acquired new books for the library collections and processed papers</t>
        </is>
      </c>
      <c r="L46" s="112" t="n"/>
      <c r="M46" s="112" t="n"/>
      <c r="N46" s="116" t="n">
        <v>0</v>
      </c>
      <c r="O46" s="116" t="n">
        <v>0</v>
      </c>
      <c r="P46" s="116" t="n">
        <v>0</v>
      </c>
      <c r="Q46" s="116" t="n">
        <v>0</v>
      </c>
      <c r="R46" s="116">
        <f>IF(AND(0&gt;=0, 0&lt;=1.49), "POOR", IF(AND(0&gt;=4.5, 0&lt;=5), "OUTSTANDING", IF(AND(0&gt;=2.5, 0&lt;=3.49), "SATISFACTORY", IF(AND(0&gt;=1.5, 0&lt;=2.49), "UNSATISFACTORY", IF(AND(0&gt;=3.5, 0&lt;=4.49), "VERY SATISFACTORY", "UNRATED")))))</f>
        <v/>
      </c>
      <c r="S46" s="112" t="n"/>
    </row>
    <row r="47" ht="14.25" customHeight="1" s="73">
      <c r="A47" s="112" t="n"/>
      <c r="B47" s="112" t="n"/>
      <c r="C47" s="112" t="n"/>
      <c r="D47" s="112" t="n"/>
      <c r="E47" s="112" t="n"/>
      <c r="F47" s="112" t="n"/>
      <c r="G47" s="112" t="n"/>
      <c r="H47" s="112" t="n"/>
      <c r="I47" s="112" t="n"/>
      <c r="J47" s="112" t="n"/>
      <c r="K47" s="112" t="n"/>
      <c r="L47" s="112" t="n"/>
      <c r="M47" s="112" t="n"/>
      <c r="N47" s="112" t="n"/>
      <c r="O47" s="112" t="n"/>
      <c r="P47" s="112" t="n"/>
      <c r="Q47" s="112" t="n"/>
      <c r="R47" s="112" t="n"/>
      <c r="S47" s="112" t="n"/>
    </row>
    <row r="48" ht="14.25" customHeight="1" s="73">
      <c r="A48" s="112" t="n"/>
      <c r="B48" s="112" t="n"/>
      <c r="C48" s="112" t="n"/>
      <c r="D48" s="116" t="n">
        <v>30</v>
      </c>
      <c r="E48" s="120" t="inlineStr">
        <is>
          <t>day spent</t>
        </is>
      </c>
      <c r="F48" s="112" t="n"/>
      <c r="G48" s="112" t="n"/>
      <c r="H48" s="112" t="n"/>
      <c r="I48" s="112" t="n"/>
      <c r="J48" s="116" t="n">
        <v>0</v>
      </c>
      <c r="K48" s="120" t="inlineStr">
        <is>
          <t>day spent</t>
        </is>
      </c>
      <c r="L48" s="112" t="n"/>
      <c r="M48" s="112" t="n"/>
      <c r="N48" s="112" t="n"/>
      <c r="O48" s="112" t="n"/>
      <c r="P48" s="112" t="n"/>
      <c r="Q48" s="112" t="n"/>
      <c r="R48" s="112" t="n"/>
      <c r="S48" s="112" t="n"/>
    </row>
    <row r="49" ht="14.25" customHeight="1" s="73">
      <c r="A49" s="112" t="n"/>
      <c r="B49" s="112" t="n"/>
      <c r="C49" s="112" t="n"/>
      <c r="D49" s="112" t="n"/>
      <c r="E49" s="112" t="n"/>
      <c r="F49" s="112" t="n"/>
      <c r="G49" s="112" t="n"/>
      <c r="H49" s="112" t="n"/>
      <c r="I49" s="112" t="n"/>
      <c r="J49" s="112" t="n"/>
      <c r="K49" s="112" t="n"/>
      <c r="L49" s="112" t="n"/>
      <c r="M49" s="112" t="n"/>
      <c r="N49" s="112" t="n"/>
      <c r="O49" s="112" t="n"/>
      <c r="P49" s="112" t="n"/>
      <c r="Q49" s="112" t="n"/>
      <c r="R49" s="112" t="n"/>
      <c r="S49" s="112" t="n"/>
    </row>
    <row r="50" ht="14.25" customHeight="1" s="73">
      <c r="A50" s="112" t="n"/>
      <c r="B50" s="112" t="n"/>
      <c r="C50" s="112" t="n"/>
      <c r="D50" s="116" t="n">
        <v>2</v>
      </c>
      <c r="E50" s="120" t="inlineStr">
        <is>
          <t>revision</t>
        </is>
      </c>
      <c r="F50" s="112" t="n"/>
      <c r="G50" s="112" t="n"/>
      <c r="H50" s="112" t="n"/>
      <c r="I50" s="112" t="n"/>
      <c r="J50" s="116" t="n">
        <v>0</v>
      </c>
      <c r="K50" s="120" t="inlineStr">
        <is>
          <t>revision/s in average</t>
        </is>
      </c>
      <c r="L50" s="112" t="n"/>
      <c r="M50" s="112" t="n"/>
      <c r="N50" s="112" t="n"/>
      <c r="O50" s="112" t="n"/>
      <c r="P50" s="112" t="n"/>
      <c r="Q50" s="112" t="n"/>
      <c r="R50" s="112" t="n"/>
      <c r="S50" s="112" t="n"/>
    </row>
    <row r="51" ht="14.25" customHeight="1" s="73">
      <c r="A51" s="112" t="n"/>
      <c r="B51" s="112" t="n"/>
      <c r="C51" s="112" t="n"/>
      <c r="D51" s="112" t="n"/>
      <c r="E51" s="112" t="n"/>
      <c r="F51" s="112" t="n"/>
      <c r="G51" s="112" t="n"/>
      <c r="H51" s="112" t="n"/>
      <c r="I51" s="112" t="n"/>
      <c r="J51" s="112" t="n"/>
      <c r="K51" s="112" t="n"/>
      <c r="L51" s="112" t="n"/>
      <c r="M51" s="112" t="n"/>
      <c r="N51" s="112" t="n"/>
      <c r="O51" s="112" t="n"/>
      <c r="P51" s="112" t="n"/>
      <c r="Q51" s="112" t="n"/>
      <c r="R51" s="112" t="n"/>
      <c r="S51" s="112" t="n"/>
    </row>
    <row r="52" ht="14.25" customHeight="1" s="73">
      <c r="K52" s="119" t="inlineStr">
        <is>
          <t>Final Average Rating</t>
        </is>
      </c>
      <c r="L52" s="112" t="n"/>
      <c r="M52" s="112" t="n"/>
      <c r="N52" s="121">
        <f>AVERAGE(N27: N46)</f>
        <v/>
      </c>
      <c r="O52" s="121">
        <f>AVERAGE(O27: O46)</f>
        <v/>
      </c>
      <c r="P52" s="121">
        <f>AVERAGE(P27: P46)</f>
        <v/>
      </c>
      <c r="Q52" s="121">
        <f>AVERAGE(Q27: Q46)</f>
        <v/>
      </c>
    </row>
    <row r="53" ht="14.25" customHeight="1" s="73">
      <c r="K53" s="112" t="n"/>
      <c r="L53" s="112" t="n"/>
      <c r="M53" s="112" t="n"/>
      <c r="N53" s="112" t="n"/>
      <c r="O53" s="112" t="n"/>
      <c r="P53" s="112" t="n"/>
      <c r="Q53" s="112" t="n"/>
    </row>
    <row r="54" ht="14.25" customHeight="1" s="73">
      <c r="K54" s="119" t="inlineStr">
        <is>
          <t>FINAL AVERAGE RATING</t>
        </is>
      </c>
      <c r="L54" s="112" t="n"/>
      <c r="M54" s="112" t="n"/>
      <c r="N54" s="122">
        <f>AVERAGE(Q26: Q46)</f>
        <v/>
      </c>
      <c r="O54" s="112" t="n"/>
      <c r="P54" s="112" t="n"/>
      <c r="Q54" s="112" t="n"/>
    </row>
    <row r="55" ht="14.25" customHeight="1" s="73">
      <c r="K55" s="112" t="n"/>
      <c r="L55" s="112" t="n"/>
      <c r="M55" s="112" t="n"/>
      <c r="N55" s="112" t="n"/>
      <c r="O55" s="112" t="n"/>
      <c r="P55" s="112" t="n"/>
      <c r="Q55" s="112" t="n"/>
    </row>
    <row r="56" ht="14.25" customHeight="1" s="73">
      <c r="K56" s="119" t="inlineStr">
        <is>
          <t>ADJECTIVAL RATING</t>
        </is>
      </c>
      <c r="L56" s="112" t="n"/>
      <c r="M56" s="112" t="n"/>
      <c r="N56" s="116">
        <f>IF(AND(Q52&gt;=0, Q52&lt;=1.49), "POOR", IF(AND(Q52&gt;=1.5, Q52&lt;=2.49), "UNSATISFACTORY", IF(AND(Q52&gt;=2.5, Q52&lt;=3.49), "SATISFACTORY", IF(AND(Q52&gt;=3.5, Q52&lt;=4.49), "VERY SATISFACTORY", IF(AND(Q52&gt;=4.5, Q52&lt;=5), "OUTSTANDING")))))</f>
        <v/>
      </c>
      <c r="O56" s="112" t="n"/>
      <c r="P56" s="112" t="n"/>
      <c r="Q56" s="112" t="n"/>
    </row>
    <row r="57" ht="14.25" customHeight="1" s="73">
      <c r="K57" s="112" t="n"/>
      <c r="L57" s="112" t="n"/>
      <c r="M57" s="112" t="n"/>
      <c r="N57" s="112" t="n"/>
      <c r="O57" s="112" t="n"/>
      <c r="P57" s="112" t="n"/>
      <c r="Q57" s="112" t="n"/>
    </row>
    <row r="58" ht="14.25" customHeight="1" s="73"/>
    <row r="59" ht="14.25" customHeight="1" s="73">
      <c r="A59" s="116" t="inlineStr">
        <is>
          <t>Discussed With</t>
        </is>
      </c>
      <c r="B59" s="112" t="n"/>
      <c r="C59" s="112" t="n"/>
      <c r="D59" s="112" t="n"/>
      <c r="E59" s="119" t="inlineStr">
        <is>
          <t>Date</t>
        </is>
      </c>
      <c r="F59" s="112" t="n"/>
      <c r="G59" s="116" t="inlineStr">
        <is>
          <t>Assessed By</t>
        </is>
      </c>
      <c r="H59" s="112" t="n"/>
      <c r="I59" s="112" t="n"/>
      <c r="J59" s="112" t="n"/>
      <c r="K59" s="119" t="inlineStr">
        <is>
          <t>Date</t>
        </is>
      </c>
      <c r="L59" s="112" t="n"/>
      <c r="M59" s="116" t="inlineStr">
        <is>
          <t>Final Rating By</t>
        </is>
      </c>
      <c r="N59" s="112" t="n"/>
      <c r="O59" s="112" t="n"/>
      <c r="P59" s="112" t="n"/>
      <c r="Q59" s="119" t="inlineStr">
        <is>
          <t>Date</t>
        </is>
      </c>
      <c r="R59" s="112" t="n"/>
      <c r="S59" s="112" t="n"/>
    </row>
    <row r="60" ht="14.25" customHeight="1" s="73">
      <c r="A60" s="123" t="inlineStr">
        <is>
          <t>Ken Jhon Emil B. Navos
Instructor I</t>
        </is>
      </c>
      <c r="B60" s="112" t="n"/>
      <c r="C60" s="112" t="n"/>
      <c r="D60" s="112" t="n"/>
      <c r="E60" s="124" t="inlineStr"/>
      <c r="F60" s="112" t="n"/>
      <c r="G60" s="123" t="inlineStr">
        <is>
          <t>Dr. Ma. Liberty DG. Pascual
College President</t>
        </is>
      </c>
      <c r="H60" s="112" t="n"/>
      <c r="I60" s="112" t="n"/>
      <c r="J60" s="112" t="n"/>
      <c r="K60" s="124" t="inlineStr"/>
      <c r="L60" s="112" t="n"/>
      <c r="M60" s="123" t="inlineStr">
        <is>
          <t>Dr. Ma. Liberty DG. Pascual
College President</t>
        </is>
      </c>
      <c r="N60" s="112" t="n"/>
      <c r="O60" s="112" t="n"/>
      <c r="P60" s="112" t="n"/>
      <c r="Q60" s="124" t="inlineStr"/>
      <c r="R60" s="112" t="n"/>
      <c r="S60" s="112" t="n"/>
    </row>
    <row r="61" ht="14.25" customHeight="1" s="73">
      <c r="A61" s="112" t="n"/>
      <c r="B61" s="112" t="n"/>
      <c r="C61" s="112" t="n"/>
      <c r="D61" s="112" t="n"/>
      <c r="E61" s="112" t="n"/>
      <c r="F61" s="112" t="n"/>
      <c r="G61" s="112" t="n"/>
      <c r="H61" s="112" t="n"/>
      <c r="I61" s="112" t="n"/>
      <c r="J61" s="112" t="n"/>
      <c r="K61" s="112" t="n"/>
      <c r="L61" s="112" t="n"/>
      <c r="M61" s="112" t="n"/>
      <c r="N61" s="112" t="n"/>
      <c r="O61" s="112" t="n"/>
      <c r="P61" s="112" t="n"/>
      <c r="Q61" s="112" t="n"/>
      <c r="R61" s="112" t="n"/>
      <c r="S61" s="112" t="n"/>
    </row>
    <row r="62" ht="14.25" customHeight="1" s="73">
      <c r="A62" s="112" t="n"/>
      <c r="B62" s="112" t="n"/>
      <c r="C62" s="112" t="n"/>
      <c r="D62" s="112" t="n"/>
      <c r="E62" s="112" t="n"/>
      <c r="F62" s="112" t="n"/>
      <c r="G62" s="112" t="n"/>
      <c r="H62" s="112" t="n"/>
      <c r="I62" s="112" t="n"/>
      <c r="J62" s="112" t="n"/>
      <c r="K62" s="112" t="n"/>
      <c r="L62" s="112" t="n"/>
      <c r="M62" s="112" t="n"/>
      <c r="N62" s="112" t="n"/>
      <c r="O62" s="112" t="n"/>
      <c r="P62" s="112" t="n"/>
      <c r="Q62" s="112" t="n"/>
      <c r="R62" s="112" t="n"/>
      <c r="S62" s="112" t="n"/>
    </row>
    <row r="63" ht="14.25" customHeight="1" s="73"/>
    <row r="64" ht="14.25" customHeight="1" s="73">
      <c r="G64" s="116" t="inlineStr">
        <is>
          <t>Confirmed By</t>
        </is>
      </c>
      <c r="H64" s="112" t="n"/>
      <c r="I64" s="112" t="n"/>
      <c r="J64" s="112" t="n"/>
      <c r="K64" s="119" t="inlineStr">
        <is>
          <t>Date</t>
        </is>
      </c>
      <c r="L64" s="112" t="n"/>
    </row>
    <row r="65" ht="14.25" customHeight="1" s="73">
      <c r="G65" s="123" t="inlineStr">
        <is>
          <t>Hon. Maria Elena L. Germar
PMT Chairperson</t>
        </is>
      </c>
      <c r="H65" s="112" t="n"/>
      <c r="I65" s="112" t="n"/>
      <c r="J65" s="112" t="n"/>
      <c r="K65" s="124" t="inlineStr"/>
      <c r="L65" s="112" t="n"/>
    </row>
    <row r="66" ht="14.25" customHeight="1" s="73">
      <c r="G66" s="112" t="n"/>
      <c r="H66" s="112" t="n"/>
      <c r="I66" s="112" t="n"/>
      <c r="J66" s="112" t="n"/>
      <c r="K66" s="112" t="n"/>
      <c r="L66" s="112" t="n"/>
    </row>
    <row r="67" ht="14.25" customHeight="1" s="73">
      <c r="G67" s="112" t="n"/>
      <c r="H67" s="112" t="n"/>
      <c r="I67" s="112" t="n"/>
      <c r="J67" s="112" t="n"/>
      <c r="K67" s="112" t="n"/>
      <c r="L67" s="112" t="n"/>
    </row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137">
    <mergeCell ref="K65:L67"/>
    <mergeCell ref="R27:S32"/>
    <mergeCell ref="N8:S8"/>
    <mergeCell ref="D36:D37"/>
    <mergeCell ref="P34:P39"/>
    <mergeCell ref="A34:C39"/>
    <mergeCell ref="H34:H39"/>
    <mergeCell ref="N10:S10"/>
    <mergeCell ref="K54:M55"/>
    <mergeCell ref="E48:G49"/>
    <mergeCell ref="J36:J37"/>
    <mergeCell ref="M59:P59"/>
    <mergeCell ref="O16:P16"/>
    <mergeCell ref="A6:S6"/>
    <mergeCell ref="A1:S1"/>
    <mergeCell ref="A60:D62"/>
    <mergeCell ref="K27:M28"/>
    <mergeCell ref="J31:J32"/>
    <mergeCell ref="N11:S11"/>
    <mergeCell ref="D38:D39"/>
    <mergeCell ref="K52:M53"/>
    <mergeCell ref="A27:C32"/>
    <mergeCell ref="A3:S3"/>
    <mergeCell ref="R18:S18"/>
    <mergeCell ref="D34:D35"/>
    <mergeCell ref="I34:I39"/>
    <mergeCell ref="A46:C51"/>
    <mergeCell ref="N54:Q55"/>
    <mergeCell ref="K42:M43"/>
    <mergeCell ref="D40:D41"/>
    <mergeCell ref="E36:G37"/>
    <mergeCell ref="R40:S45"/>
    <mergeCell ref="E50:G51"/>
    <mergeCell ref="D27:D28"/>
    <mergeCell ref="K38:M39"/>
    <mergeCell ref="A5:S5"/>
    <mergeCell ref="J34:J35"/>
    <mergeCell ref="O34:O39"/>
    <mergeCell ref="N56:Q57"/>
    <mergeCell ref="R19:S19"/>
    <mergeCell ref="A4:S4"/>
    <mergeCell ref="K64:L64"/>
    <mergeCell ref="J27:J28"/>
    <mergeCell ref="R16:S16"/>
    <mergeCell ref="Q59:S59"/>
    <mergeCell ref="N52:N53"/>
    <mergeCell ref="G60:J62"/>
    <mergeCell ref="R25:S25"/>
    <mergeCell ref="P52:P53"/>
    <mergeCell ref="A59:D59"/>
    <mergeCell ref="H40:H45"/>
    <mergeCell ref="P27:P32"/>
    <mergeCell ref="E38:G39"/>
    <mergeCell ref="O46:O51"/>
    <mergeCell ref="K56:M57"/>
    <mergeCell ref="Q46:Q51"/>
    <mergeCell ref="E31:G32"/>
    <mergeCell ref="E46:G47"/>
    <mergeCell ref="E40:G41"/>
    <mergeCell ref="E27:G28"/>
    <mergeCell ref="A12:G12"/>
    <mergeCell ref="G65:J67"/>
    <mergeCell ref="A2:S2"/>
    <mergeCell ref="J48:J49"/>
    <mergeCell ref="A14:G14"/>
    <mergeCell ref="K34:M35"/>
    <mergeCell ref="Q52:Q53"/>
    <mergeCell ref="J38:J39"/>
    <mergeCell ref="I27:I32"/>
    <mergeCell ref="Q60:S62"/>
    <mergeCell ref="J22:M24"/>
    <mergeCell ref="N46:N51"/>
    <mergeCell ref="J40:J41"/>
    <mergeCell ref="P40:P45"/>
    <mergeCell ref="K29:M30"/>
    <mergeCell ref="G59:J59"/>
    <mergeCell ref="E42:G43"/>
    <mergeCell ref="E29:G30"/>
    <mergeCell ref="E59:F59"/>
    <mergeCell ref="A22:C24"/>
    <mergeCell ref="R20:S20"/>
    <mergeCell ref="E44:G45"/>
    <mergeCell ref="J50:J51"/>
    <mergeCell ref="R17:S17"/>
    <mergeCell ref="D42:D43"/>
    <mergeCell ref="D29:D30"/>
    <mergeCell ref="A7:S7"/>
    <mergeCell ref="H27:H32"/>
    <mergeCell ref="K31:M32"/>
    <mergeCell ref="K46:M47"/>
    <mergeCell ref="K40:M41"/>
    <mergeCell ref="N34:N39"/>
    <mergeCell ref="D31:D32"/>
    <mergeCell ref="J42:J43"/>
    <mergeCell ref="R22:S24"/>
    <mergeCell ref="J29:J30"/>
    <mergeCell ref="K48:M49"/>
    <mergeCell ref="N27:N32"/>
    <mergeCell ref="I46:I51"/>
    <mergeCell ref="R34:S39"/>
    <mergeCell ref="I40:I45"/>
    <mergeCell ref="H22:H24"/>
    <mergeCell ref="A33:S33"/>
    <mergeCell ref="J44:J45"/>
    <mergeCell ref="G64:J64"/>
    <mergeCell ref="N22:Q23"/>
    <mergeCell ref="D46:D47"/>
    <mergeCell ref="A13:G13"/>
    <mergeCell ref="K60:L62"/>
    <mergeCell ref="D48:D49"/>
    <mergeCell ref="E60:F62"/>
    <mergeCell ref="K36:M37"/>
    <mergeCell ref="A40:C45"/>
    <mergeCell ref="P46:P51"/>
    <mergeCell ref="A15:G15"/>
    <mergeCell ref="N9:S9"/>
    <mergeCell ref="H46:H51"/>
    <mergeCell ref="R46:S51"/>
    <mergeCell ref="E34:G35"/>
    <mergeCell ref="K59:L59"/>
    <mergeCell ref="D22:G24"/>
    <mergeCell ref="K50:M51"/>
    <mergeCell ref="O52:O53"/>
    <mergeCell ref="K44:M45"/>
    <mergeCell ref="Q34:Q39"/>
    <mergeCell ref="D50:D51"/>
    <mergeCell ref="J46:J47"/>
    <mergeCell ref="M60:P62"/>
    <mergeCell ref="O40:O45"/>
    <mergeCell ref="A25:M25"/>
    <mergeCell ref="Q40:Q45"/>
    <mergeCell ref="O27:O32"/>
    <mergeCell ref="Q27:Q32"/>
    <mergeCell ref="I22:I24"/>
    <mergeCell ref="N40:N45"/>
    <mergeCell ref="A26:S26"/>
    <mergeCell ref="D44:D45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2026-01-13T14:29:46Z</dcterms:created>
  <dcterms:modified xmlns:dcterms="http://purl.org/dc/terms/" xmlns:xsi="http://www.w3.org/2001/XMLSchema-instance" xsi:type="dcterms:W3CDTF">2026-01-13T14:29:46Z</dcterms:modified>
</cp:coreProperties>
</file>