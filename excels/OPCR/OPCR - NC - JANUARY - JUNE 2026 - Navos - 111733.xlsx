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0" fillId="0" borderId="67" applyAlignment="1" pivotButton="0" quotePrefix="0" xfId="0">
      <alignment horizontal="center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8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School Leadership and Management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Accomplishment Report</t>
        </is>
      </c>
      <c r="B27" s="112" t="n"/>
      <c r="C27" s="112" t="n"/>
      <c r="D27" s="114" t="n">
        <v>2</v>
      </c>
      <c r="E27" s="115" t="inlineStr">
        <is>
          <t>Prepare and submit Monthly Accomplishment Report to the Office of the President</t>
        </is>
      </c>
      <c r="F27" s="112" t="n"/>
      <c r="G27" s="112" t="n"/>
      <c r="H27" s="113" t="n">
        <v>0</v>
      </c>
      <c r="I27" s="113" t="inlineStr">
        <is>
          <t xml:space="preserve">Jiovanni Pareja
</t>
        </is>
      </c>
      <c r="J27" s="114" t="n">
        <v>0</v>
      </c>
      <c r="K27" s="115" t="inlineStr">
        <is>
          <t>Prepared and submitted Monthly Accomplishment Report to the Office of the President</t>
        </is>
      </c>
      <c r="L27" s="112" t="n"/>
      <c r="M27" s="112" t="n"/>
      <c r="N27" s="114" t="n">
        <v>2</v>
      </c>
      <c r="O27" s="114" t="n">
        <v>3</v>
      </c>
      <c r="P27" s="114" t="n">
        <v>4</v>
      </c>
      <c r="Q27" s="114" t="n">
        <v>3</v>
      </c>
      <c r="R27" s="114">
        <f>IF(AND(3.0&gt;=0, 3.0&lt;=1.49), "POOR", IF(AND(3.0&gt;=4.5, 3.0&lt;=5), "OUTSTANDING", IF(AND(3.0&gt;=2.5, 3.0&lt;=3.49), "SATISFACTORY", IF(AND(3.0&gt;=1.5, 3.0&lt;=2.49), "UNSATISFACTORY", IF(AND(3.0&gt;=3.5, 3.0&lt;=4.49),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2</v>
      </c>
      <c r="E29" s="115" t="inlineStr">
        <is>
          <t>minute with</t>
        </is>
      </c>
      <c r="F29" s="112" t="n"/>
      <c r="G29" s="112" t="n"/>
      <c r="H29" s="112" t="n"/>
      <c r="I29" s="112" t="n"/>
      <c r="J29" s="114" t="n">
        <v>0</v>
      </c>
      <c r="K29" s="115" t="inlineStr">
        <is>
          <t>minute with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2</v>
      </c>
      <c r="E31" s="115" t="inlineStr">
        <is>
          <t>error</t>
        </is>
      </c>
      <c r="F31" s="112" t="n"/>
      <c r="G31" s="112" t="n"/>
      <c r="H31" s="112" t="n"/>
      <c r="I31" s="112" t="n"/>
      <c r="J31" s="116" t="n">
        <v>0</v>
      </c>
      <c r="K31" s="117" t="inlineStr">
        <is>
          <t>error/s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>
      <c r="K33" s="118" t="inlineStr">
        <is>
          <t>Final Average Rating</t>
        </is>
      </c>
      <c r="L33" s="112" t="n"/>
      <c r="M33" s="112" t="n"/>
      <c r="N33" s="119">
        <f>AVERAGE(N27: N27)</f>
        <v/>
      </c>
      <c r="O33" s="119">
        <f>AVERAGE(O27: O27)</f>
        <v/>
      </c>
      <c r="P33" s="119">
        <f>AVERAGE(P27: P27)</f>
        <v/>
      </c>
      <c r="Q33" s="119">
        <f>AVERAGE(Q27: Q27)</f>
        <v/>
      </c>
    </row>
    <row r="34" ht="14.25" customHeight="1" s="73">
      <c r="K34" s="112" t="n"/>
      <c r="L34" s="112" t="n"/>
      <c r="M34" s="112" t="n"/>
      <c r="N34" s="112" t="n"/>
      <c r="O34" s="112" t="n"/>
      <c r="P34" s="112" t="n"/>
      <c r="Q34" s="112" t="n"/>
    </row>
    <row r="35" ht="14.25" customHeight="1" s="73">
      <c r="K35" s="118" t="inlineStr">
        <is>
          <t>FINAL AVERAGE RATING</t>
        </is>
      </c>
      <c r="L35" s="112" t="n"/>
      <c r="M35" s="112" t="n"/>
      <c r="N35" s="120">
        <f>AVERAGE(Q26: Q27)</f>
        <v/>
      </c>
      <c r="O35" s="112" t="n"/>
      <c r="P35" s="112" t="n"/>
      <c r="Q35" s="112" t="n"/>
    </row>
    <row r="36" ht="14.25" customHeight="1" s="73">
      <c r="K36" s="112" t="n"/>
      <c r="L36" s="112" t="n"/>
      <c r="M36" s="112" t="n"/>
      <c r="N36" s="112" t="n"/>
      <c r="O36" s="112" t="n"/>
      <c r="P36" s="112" t="n"/>
      <c r="Q36" s="112" t="n"/>
    </row>
    <row r="37" ht="14.25" customHeight="1" s="73">
      <c r="K37" s="118" t="inlineStr">
        <is>
          <t>ADJECTIVAL RATING</t>
        </is>
      </c>
      <c r="L37" s="112" t="n"/>
      <c r="M37" s="112" t="n"/>
      <c r="N37" s="116">
        <f>IF(AND(Q33&gt;=0, Q33&lt;=1.49), "POOR", IF(AND(Q33&gt;=1.5, Q33&lt;=2.49), "UNSATISFACTORY", IF(AND(Q33&gt;=2.5, Q33&lt;=3.49), "SATISFACTORY", IF(AND(Q33&gt;=3.5, Q33&lt;=4.49), "VERY SATISFACTORY", IF(AND(Q33&gt;=4.5, Q33&lt;=5), "OUTSTANDING")))))</f>
        <v/>
      </c>
      <c r="O37" s="112" t="n"/>
      <c r="P37" s="112" t="n"/>
      <c r="Q37" s="112" t="n"/>
    </row>
    <row r="38" ht="14.25" customHeight="1" s="73">
      <c r="K38" s="112" t="n"/>
      <c r="L38" s="112" t="n"/>
      <c r="M38" s="112" t="n"/>
      <c r="N38" s="112" t="n"/>
      <c r="O38" s="112" t="n"/>
      <c r="P38" s="112" t="n"/>
      <c r="Q38" s="112" t="n"/>
    </row>
    <row r="39" ht="14.25" customHeight="1" s="73"/>
    <row r="40" ht="14.25" customHeight="1" s="73">
      <c r="A40" s="116" t="inlineStr">
        <is>
          <t>Discussed With</t>
        </is>
      </c>
      <c r="B40" s="112" t="n"/>
      <c r="C40" s="112" t="n"/>
      <c r="D40" s="112" t="n"/>
      <c r="E40" s="118" t="inlineStr">
        <is>
          <t>Date</t>
        </is>
      </c>
      <c r="F40" s="112" t="n"/>
      <c r="G40" s="116" t="inlineStr">
        <is>
          <t>Assessed By</t>
        </is>
      </c>
      <c r="H40" s="112" t="n"/>
      <c r="I40" s="112" t="n"/>
      <c r="J40" s="112" t="n"/>
      <c r="K40" s="118" t="inlineStr">
        <is>
          <t>Date</t>
        </is>
      </c>
      <c r="L40" s="112" t="n"/>
      <c r="M40" s="116" t="inlineStr">
        <is>
          <t>Final Rating By</t>
        </is>
      </c>
      <c r="N40" s="112" t="n"/>
      <c r="O40" s="112" t="n"/>
      <c r="P40" s="112" t="n"/>
      <c r="Q40" s="118" t="inlineStr">
        <is>
          <t>Date</t>
        </is>
      </c>
      <c r="R40" s="112" t="n"/>
      <c r="S40" s="112" t="n"/>
    </row>
    <row r="41" ht="14.25" customHeight="1" s="73">
      <c r="A41" s="121" t="inlineStr">
        <is>
          <t>Ken Jhon Emil B. Navos
Instructor I</t>
        </is>
      </c>
      <c r="B41" s="112" t="n"/>
      <c r="C41" s="112" t="n"/>
      <c r="D41" s="112" t="n"/>
      <c r="E41" s="122" t="inlineStr"/>
      <c r="F41" s="112" t="n"/>
      <c r="G41" s="121" t="inlineStr">
        <is>
          <t>Dr. Ma. Liberty DG. Pascual
College President</t>
        </is>
      </c>
      <c r="H41" s="112" t="n"/>
      <c r="I41" s="112" t="n"/>
      <c r="J41" s="112" t="n"/>
      <c r="K41" s="122" t="inlineStr"/>
      <c r="L41" s="112" t="n"/>
      <c r="M41" s="121" t="inlineStr">
        <is>
          <t>Dr. Ma. Liberty DG. Pascual
College President</t>
        </is>
      </c>
      <c r="N41" s="112" t="n"/>
      <c r="O41" s="112" t="n"/>
      <c r="P41" s="112" t="n"/>
      <c r="Q41" s="122" t="inlineStr"/>
      <c r="R41" s="112" t="n"/>
      <c r="S41" s="112" t="n"/>
    </row>
    <row r="42" ht="14.25" customHeight="1" s="73">
      <c r="A42" s="112" t="n"/>
      <c r="B42" s="112" t="n"/>
      <c r="C42" s="112" t="n"/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</row>
    <row r="43" ht="14.25" customHeight="1" s="73">
      <c r="A43" s="112" t="n"/>
      <c r="B43" s="112" t="n"/>
      <c r="C43" s="112" t="n"/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</row>
    <row r="44" ht="14.25" customHeight="1" s="73"/>
    <row r="45" ht="14.25" customHeight="1" s="73">
      <c r="G45" s="116" t="inlineStr">
        <is>
          <t>Confirmed By</t>
        </is>
      </c>
      <c r="H45" s="112" t="n"/>
      <c r="I45" s="112" t="n"/>
      <c r="J45" s="112" t="n"/>
      <c r="K45" s="118" t="inlineStr">
        <is>
          <t>Date</t>
        </is>
      </c>
      <c r="L45" s="112" t="n"/>
    </row>
    <row r="46" ht="14.25" customHeight="1" s="73">
      <c r="G46" s="121" t="inlineStr">
        <is>
          <t>Hon. Maria Elena L. Germar
PMT Chairperson</t>
        </is>
      </c>
      <c r="H46" s="112" t="n"/>
      <c r="I46" s="112" t="n"/>
      <c r="J46" s="112" t="n"/>
      <c r="K46" s="122" t="inlineStr"/>
      <c r="L46" s="112" t="n"/>
    </row>
    <row r="47" ht="14.25" customHeight="1" s="73">
      <c r="G47" s="112" t="n"/>
      <c r="H47" s="112" t="n"/>
      <c r="I47" s="112" t="n"/>
      <c r="J47" s="112" t="n"/>
      <c r="K47" s="112" t="n"/>
      <c r="L47" s="112" t="n"/>
    </row>
    <row r="48" ht="14.25" customHeight="1" s="73">
      <c r="G48" s="112" t="n"/>
      <c r="H48" s="112" t="n"/>
      <c r="I48" s="112" t="n"/>
      <c r="J48" s="112" t="n"/>
      <c r="K48" s="112" t="n"/>
      <c r="L48" s="112" t="n"/>
    </row>
    <row r="49" ht="14.25" customHeight="1" s="73"/>
    <row r="50" ht="14.25" customHeight="1" s="73"/>
    <row r="51" ht="14.25" customHeight="1" s="73"/>
    <row r="52" ht="14.25" customHeight="1" s="73"/>
    <row r="53" ht="14.25" customHeight="1" s="73"/>
    <row r="54" ht="14.25" customHeight="1" s="73"/>
    <row r="55" ht="14.25" customHeight="1" s="73"/>
    <row r="56" ht="14.25" customHeight="1" s="73"/>
    <row r="57" ht="14.25" customHeight="1" s="73"/>
    <row r="58" ht="14.25" customHeight="1" s="73"/>
    <row r="59" ht="14.25" customHeight="1" s="73"/>
    <row r="60" ht="14.25" customHeight="1" s="73"/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76">
    <mergeCell ref="A14:G14"/>
    <mergeCell ref="H22:H24"/>
    <mergeCell ref="N35:Q36"/>
    <mergeCell ref="D27:D28"/>
    <mergeCell ref="A5:S5"/>
    <mergeCell ref="N22:Q23"/>
    <mergeCell ref="O33:O34"/>
    <mergeCell ref="Q33:Q34"/>
    <mergeCell ref="Q40:S40"/>
    <mergeCell ref="R19:S19"/>
    <mergeCell ref="K45:L45"/>
    <mergeCell ref="A4:S4"/>
    <mergeCell ref="N8:S8"/>
    <mergeCell ref="I27:I32"/>
    <mergeCell ref="J22:M24"/>
    <mergeCell ref="R27:S32"/>
    <mergeCell ref="N37:Q38"/>
    <mergeCell ref="N33:N34"/>
    <mergeCell ref="J27:J28"/>
    <mergeCell ref="K37:M38"/>
    <mergeCell ref="A13:G13"/>
    <mergeCell ref="A40:D40"/>
    <mergeCell ref="G40:J40"/>
    <mergeCell ref="R16:S16"/>
    <mergeCell ref="G41:J43"/>
    <mergeCell ref="M41:P43"/>
    <mergeCell ref="R25:S25"/>
    <mergeCell ref="K29:M30"/>
    <mergeCell ref="N10:S10"/>
    <mergeCell ref="K33:M34"/>
    <mergeCell ref="A15:G15"/>
    <mergeCell ref="K41:L43"/>
    <mergeCell ref="N9:S9"/>
    <mergeCell ref="G46:J48"/>
    <mergeCell ref="E40:F40"/>
    <mergeCell ref="K40:L40"/>
    <mergeCell ref="P27:P32"/>
    <mergeCell ref="E29:G30"/>
    <mergeCell ref="O16:P16"/>
    <mergeCell ref="D22:G24"/>
    <mergeCell ref="A22:C24"/>
    <mergeCell ref="K35:M36"/>
    <mergeCell ref="R20:S20"/>
    <mergeCell ref="A6:S6"/>
    <mergeCell ref="A1:S1"/>
    <mergeCell ref="K46:L48"/>
    <mergeCell ref="K27:M28"/>
    <mergeCell ref="R17:S17"/>
    <mergeCell ref="A25:M25"/>
    <mergeCell ref="J31:J32"/>
    <mergeCell ref="A41:D43"/>
    <mergeCell ref="O27:O32"/>
    <mergeCell ref="N11:S11"/>
    <mergeCell ref="D29:D30"/>
    <mergeCell ref="A7:S7"/>
    <mergeCell ref="Q27:Q32"/>
    <mergeCell ref="Q41:S43"/>
    <mergeCell ref="I22:I24"/>
    <mergeCell ref="E31:G32"/>
    <mergeCell ref="H27:H32"/>
    <mergeCell ref="K31:M32"/>
    <mergeCell ref="M40:P40"/>
    <mergeCell ref="E27:G28"/>
    <mergeCell ref="A12:G12"/>
    <mergeCell ref="P33:P34"/>
    <mergeCell ref="A27:C32"/>
    <mergeCell ref="D31:D32"/>
    <mergeCell ref="A3:S3"/>
    <mergeCell ref="R22:S24"/>
    <mergeCell ref="R18:S18"/>
    <mergeCell ref="E41:F43"/>
    <mergeCell ref="J29:J30"/>
    <mergeCell ref="A26:S26"/>
    <mergeCell ref="A2:S2"/>
    <mergeCell ref="N27:N32"/>
    <mergeCell ref="G45:J45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2026-02-24T15:20:58Z</dcterms:created>
  <dcterms:modified xmlns:dcterms="http://purl.org/dc/terms/" xmlns:xsi="http://www.w3.org/2001/XMLSchema-instance" xsi:type="dcterms:W3CDTF">2026-02-24T15:20:58Z</dcterms:modified>
</cp:coreProperties>
</file>