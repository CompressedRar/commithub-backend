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6" fillId="2" borderId="67" pivotButton="0" quotePrefix="0" xfId="0"/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JULY - DECEMBER 2025.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Johnzel Esteban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Dean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12</v>
      </c>
      <c r="E27" s="115" t="inlineStr">
        <is>
          <t>Meet with board of trustees</t>
        </is>
      </c>
      <c r="F27" s="112" t="n"/>
      <c r="G27" s="112" t="n"/>
      <c r="H27" s="113" t="n">
        <v>0</v>
      </c>
      <c r="I27" s="113" t="inlineStr">
        <is>
          <t xml:space="preserve">Jiovanni Pareja
</t>
        </is>
      </c>
      <c r="J27" s="114" t="n">
        <v>15</v>
      </c>
      <c r="K27" s="115" t="inlineStr">
        <is>
          <t>Met with the board of trustees.</t>
        </is>
      </c>
      <c r="L27" s="112" t="n"/>
      <c r="M27" s="112" t="n"/>
      <c r="N27" s="114" t="n">
        <v>4</v>
      </c>
      <c r="O27" s="114" t="n">
        <v>5</v>
      </c>
      <c r="P27" s="114" t="n">
        <v>3</v>
      </c>
      <c r="Q27" s="114" t="n">
        <v>4</v>
      </c>
      <c r="R27" s="116">
        <f>IF(AND(4.0&gt;=0, 4.0&lt;=1.49), "POOR", IF(AND(4.0&gt;=4.5, 4.0&lt;=5), "OUTSTANDING", IF(AND(4.0&gt;=2.5, 4.0&lt;=3.49), "SATISFACTORY", IF(AND(4.0&gt;=1.5, 4.0&lt;=2.49), "UNSATISFACTORY", IF(AND(4.0&gt;=3.5, 4.0&lt;=4.49),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0</v>
      </c>
      <c r="E29" s="115" t="inlineStr">
        <is>
          <t>day spent</t>
        </is>
      </c>
      <c r="F29" s="112" t="n"/>
      <c r="G29" s="112" t="n"/>
      <c r="H29" s="112" t="n"/>
      <c r="I29" s="112" t="n"/>
      <c r="J29" s="114" t="n">
        <v>5</v>
      </c>
      <c r="K29" s="115" t="inlineStr">
        <is>
          <t>day spent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7" t="n">
        <v>0</v>
      </c>
      <c r="K31" s="118" t="inlineStr">
        <is>
          <t>correction/s in average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45" customHeight="1" s="73">
      <c r="A33" s="119" t="inlineStr">
        <is>
          <t>Clearance</t>
        </is>
      </c>
      <c r="B33" s="112" t="n"/>
      <c r="C33" s="112" t="n"/>
      <c r="D33" s="117" t="n">
        <v>12</v>
      </c>
      <c r="E33" s="120" t="inlineStr">
        <is>
          <t>clearance to be signed and processed</t>
        </is>
      </c>
      <c r="F33" s="112" t="n"/>
      <c r="G33" s="112" t="n"/>
      <c r="H33" s="119" t="n">
        <v>0</v>
      </c>
      <c r="I33" s="119" t="inlineStr">
        <is>
          <t xml:space="preserve">Jiovanni Pareja
</t>
        </is>
      </c>
      <c r="J33" s="117" t="n">
        <v>16</v>
      </c>
      <c r="K33" s="120" t="inlineStr">
        <is>
          <t>clearance was signed and processed.</t>
        </is>
      </c>
      <c r="L33" s="112" t="n"/>
      <c r="M33" s="112" t="n"/>
      <c r="N33" s="117" t="n">
        <v>5</v>
      </c>
      <c r="O33" s="117" t="n">
        <v>5</v>
      </c>
      <c r="P33" s="117" t="n">
        <v>5</v>
      </c>
      <c r="Q33" s="117" t="n">
        <v>5</v>
      </c>
      <c r="R33" s="112">
        <f>IF(AND(5.0&gt;=0, 5.0&lt;=1.49), "POOR", IF(AND(5.0&gt;=4.5, 5.0&lt;=5), "OUTSTANDING", IF(AND(5.0&gt;=2.5, 5.0&lt;=3.49), "SATISFACTORY", IF(AND(5.0&gt;=1.5, 5.0&lt;=2.49), "UNSATISFACTORY", IF(AND(5.0&gt;=3.5, 5.0&lt;=4.49), "VERY SATISFACTORY", "UNRATED")))))</f>
        <v/>
      </c>
      <c r="S33" s="112" t="n"/>
    </row>
    <row r="34" ht="14.25" customHeight="1" s="73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</row>
    <row r="35" ht="14.25" customHeight="1" s="73">
      <c r="A35" s="112" t="n"/>
      <c r="B35" s="112" t="n"/>
      <c r="C35" s="112" t="n"/>
      <c r="D35" s="117" t="inlineStr"/>
      <c r="E35" s="120" t="inlineStr">
        <is>
          <t>on the set deadline</t>
        </is>
      </c>
      <c r="F35" s="112" t="n"/>
      <c r="G35" s="112" t="n"/>
      <c r="H35" s="112" t="n"/>
      <c r="I35" s="112" t="n"/>
      <c r="J35" s="117" t="n">
        <v>7</v>
      </c>
      <c r="K35" s="120" t="inlineStr">
        <is>
          <t>day/s early in average</t>
        </is>
      </c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7" t="n">
        <v>0</v>
      </c>
      <c r="E37" s="120" t="inlineStr">
        <is>
          <t>revision</t>
        </is>
      </c>
      <c r="F37" s="112" t="n"/>
      <c r="G37" s="112" t="n"/>
      <c r="H37" s="112" t="n"/>
      <c r="I37" s="112" t="n"/>
      <c r="J37" s="117" t="n">
        <v>0</v>
      </c>
      <c r="K37" s="120" t="inlineStr">
        <is>
          <t>revision/s in average</t>
        </is>
      </c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/>
    <row r="40" ht="14.25" customHeight="1" s="73"/>
    <row r="41" ht="14.25" customHeight="1" s="73">
      <c r="L41" s="119" t="inlineStr">
        <is>
          <t>Final Average Rating</t>
        </is>
      </c>
      <c r="M41" s="112" t="n"/>
      <c r="N41" s="121">
        <f>AVERAGE(N27: N33)</f>
        <v/>
      </c>
      <c r="O41" s="121">
        <f>AVERAGE(O27: O33)</f>
        <v/>
      </c>
      <c r="P41" s="121">
        <f>AVERAGE(P27: P33)</f>
        <v/>
      </c>
      <c r="Q41" s="121">
        <f>AVERAGE(Q27: Q33)</f>
        <v/>
      </c>
    </row>
    <row r="42" ht="14.25" customHeight="1" s="73">
      <c r="L42" s="112" t="n"/>
      <c r="M42" s="112" t="n"/>
      <c r="N42" s="112" t="n"/>
      <c r="O42" s="112" t="n"/>
      <c r="P42" s="112" t="n"/>
      <c r="Q42" s="112" t="n"/>
    </row>
    <row r="43" ht="14.25" customHeight="1" s="73">
      <c r="L43" s="119" t="inlineStr">
        <is>
          <t>FINAL AVERAGE RATING</t>
        </is>
      </c>
      <c r="M43" s="112" t="n"/>
      <c r="N43" s="122">
        <f>AVERAGE(Q26: Q33)</f>
        <v/>
      </c>
      <c r="O43" s="112" t="n"/>
      <c r="P43" s="112" t="n"/>
      <c r="Q43" s="112" t="n"/>
    </row>
    <row r="44" ht="14.25" customHeight="1" s="73">
      <c r="L44" s="112" t="n"/>
      <c r="M44" s="112" t="n"/>
      <c r="N44" s="112" t="n"/>
      <c r="O44" s="112" t="n"/>
      <c r="P44" s="112" t="n"/>
      <c r="Q44" s="112" t="n"/>
    </row>
    <row r="45" ht="14.25" customHeight="1" s="73">
      <c r="L45" s="119" t="inlineStr">
        <is>
          <t>ADJECTIVAL RATING</t>
        </is>
      </c>
      <c r="M45" s="112" t="n"/>
      <c r="N45" s="117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112" t="n"/>
      <c r="P45" s="112" t="n"/>
      <c r="Q45" s="112" t="n"/>
    </row>
    <row r="46" ht="14.25" customHeight="1" s="73">
      <c r="L46" s="112" t="n"/>
      <c r="M46" s="112" t="n"/>
      <c r="N46" s="112" t="n"/>
      <c r="O46" s="112" t="n"/>
      <c r="P46" s="112" t="n"/>
      <c r="Q46" s="112" t="n"/>
    </row>
    <row r="47" ht="14.25" customHeight="1" s="73"/>
    <row r="48" ht="14.25" customHeight="1" s="73">
      <c r="A48" s="117" t="inlineStr">
        <is>
          <t>Discussed With</t>
        </is>
      </c>
      <c r="B48" s="112" t="n"/>
      <c r="C48" s="112" t="n"/>
      <c r="D48" s="112" t="n"/>
      <c r="E48" s="119" t="inlineStr">
        <is>
          <t>Date</t>
        </is>
      </c>
      <c r="F48" s="112" t="n"/>
      <c r="G48" s="117" t="inlineStr">
        <is>
          <t>Assessed By</t>
        </is>
      </c>
      <c r="H48" s="112" t="n"/>
      <c r="I48" s="112" t="n"/>
      <c r="J48" s="112" t="n"/>
      <c r="K48" s="119" t="inlineStr">
        <is>
          <t>Date</t>
        </is>
      </c>
      <c r="L48" s="112" t="n"/>
      <c r="M48" s="117" t="inlineStr">
        <is>
          <t>Final Rating By</t>
        </is>
      </c>
      <c r="N48" s="112" t="n"/>
      <c r="O48" s="112" t="n"/>
      <c r="P48" s="112" t="n"/>
      <c r="Q48" s="119" t="inlineStr">
        <is>
          <t>Date</t>
        </is>
      </c>
      <c r="R48" s="112" t="n"/>
      <c r="S48" s="112" t="n"/>
    </row>
    <row r="49" ht="14.25" customHeight="1" s="73">
      <c r="A49" s="123" t="inlineStr">
        <is>
          <t>Ken Jhon Emil Navos
Instructor I</t>
        </is>
      </c>
      <c r="B49" s="112" t="n"/>
      <c r="C49" s="112" t="n"/>
      <c r="D49" s="112" t="n"/>
      <c r="E49" s="124" t="inlineStr"/>
      <c r="F49" s="112" t="n"/>
      <c r="G49" s="123" t="inlineStr">
        <is>
          <t>Johnzel Esteban
Dean</t>
        </is>
      </c>
      <c r="H49" s="112" t="n"/>
      <c r="I49" s="112" t="n"/>
      <c r="J49" s="112" t="n"/>
      <c r="K49" s="124" t="inlineStr"/>
      <c r="L49" s="112" t="n"/>
      <c r="M49" s="123" t="inlineStr">
        <is>
          <t>Johnzel Esteban
Dean</t>
        </is>
      </c>
      <c r="N49" s="112" t="n"/>
      <c r="O49" s="112" t="n"/>
      <c r="P49" s="112" t="n"/>
      <c r="Q49" s="124" t="inlineStr"/>
      <c r="R49" s="112" t="n"/>
      <c r="S49" s="112" t="n"/>
    </row>
    <row r="50" ht="14.25" customHeight="1" s="73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/>
    <row r="53" ht="14.25" customHeight="1" s="73">
      <c r="G53" s="117" t="inlineStr">
        <is>
          <t>Confirmed By</t>
        </is>
      </c>
      <c r="H53" s="112" t="n"/>
      <c r="I53" s="112" t="n"/>
      <c r="J53" s="112" t="n"/>
      <c r="K53" s="119" t="inlineStr">
        <is>
          <t>Date</t>
        </is>
      </c>
      <c r="L53" s="112" t="n"/>
    </row>
    <row r="54" ht="14.25" customHeight="1" s="73">
      <c r="G54" s="123" t="inlineStr">
        <is>
          <t>Hon. Maria Elena L. Germar
PMT Chairperson</t>
        </is>
      </c>
      <c r="H54" s="112" t="n"/>
      <c r="I54" s="112" t="n"/>
      <c r="J54" s="112" t="n"/>
      <c r="K54" s="124" t="inlineStr"/>
      <c r="L54" s="112" t="n"/>
    </row>
    <row r="55" ht="14.25" customHeight="1" s="73">
      <c r="G55" s="112" t="n"/>
      <c r="H55" s="112" t="n"/>
      <c r="I55" s="112" t="n"/>
      <c r="J55" s="112" t="n"/>
      <c r="K55" s="112" t="n"/>
      <c r="L55" s="112" t="n"/>
    </row>
    <row r="56" ht="14.25" customHeight="1" s="73">
      <c r="G56" s="112" t="n"/>
      <c r="H56" s="112" t="n"/>
      <c r="I56" s="112" t="n"/>
      <c r="J56" s="112" t="n"/>
      <c r="K56" s="112" t="n"/>
      <c r="L56" s="112" t="n"/>
    </row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96">
    <mergeCell ref="R27:S32"/>
    <mergeCell ref="N8:S8"/>
    <mergeCell ref="E37:G38"/>
    <mergeCell ref="N43:Q44"/>
    <mergeCell ref="N10:S10"/>
    <mergeCell ref="O16:P16"/>
    <mergeCell ref="E49:F51"/>
    <mergeCell ref="A6:S6"/>
    <mergeCell ref="A1:S1"/>
    <mergeCell ref="K27:M28"/>
    <mergeCell ref="I33:I38"/>
    <mergeCell ref="J31:J32"/>
    <mergeCell ref="N11:S11"/>
    <mergeCell ref="K53:L53"/>
    <mergeCell ref="G53:J53"/>
    <mergeCell ref="D35:D36"/>
    <mergeCell ref="A27:C32"/>
    <mergeCell ref="A3:S3"/>
    <mergeCell ref="R18:S18"/>
    <mergeCell ref="N45:Q46"/>
    <mergeCell ref="A33:C38"/>
    <mergeCell ref="D27:D28"/>
    <mergeCell ref="A5:S5"/>
    <mergeCell ref="N41:N42"/>
    <mergeCell ref="R19:S19"/>
    <mergeCell ref="A4:S4"/>
    <mergeCell ref="E48:F48"/>
    <mergeCell ref="J27:J28"/>
    <mergeCell ref="K37:M38"/>
    <mergeCell ref="K54:L56"/>
    <mergeCell ref="R16:S16"/>
    <mergeCell ref="R25:S25"/>
    <mergeCell ref="L41:M42"/>
    <mergeCell ref="A48:D48"/>
    <mergeCell ref="N33:N38"/>
    <mergeCell ref="P27:P32"/>
    <mergeCell ref="J35:J36"/>
    <mergeCell ref="Q48:S48"/>
    <mergeCell ref="G48:J48"/>
    <mergeCell ref="D37:D38"/>
    <mergeCell ref="E31:G32"/>
    <mergeCell ref="E27:G28"/>
    <mergeCell ref="A12:G12"/>
    <mergeCell ref="Q41:Q42"/>
    <mergeCell ref="A2:S2"/>
    <mergeCell ref="P41:P42"/>
    <mergeCell ref="K49:L51"/>
    <mergeCell ref="A14:G14"/>
    <mergeCell ref="G49:J51"/>
    <mergeCell ref="L45:M46"/>
    <mergeCell ref="I27:I32"/>
    <mergeCell ref="O33:O38"/>
    <mergeCell ref="J22:M24"/>
    <mergeCell ref="Q33:Q38"/>
    <mergeCell ref="K29:M30"/>
    <mergeCell ref="E29:G30"/>
    <mergeCell ref="A22:C24"/>
    <mergeCell ref="M48:P48"/>
    <mergeCell ref="R20:S20"/>
    <mergeCell ref="R33:S38"/>
    <mergeCell ref="R17:S17"/>
    <mergeCell ref="M49:P51"/>
    <mergeCell ref="D29:D30"/>
    <mergeCell ref="A7:S7"/>
    <mergeCell ref="H27:H32"/>
    <mergeCell ref="K31:M32"/>
    <mergeCell ref="J33:J34"/>
    <mergeCell ref="D31:D32"/>
    <mergeCell ref="R22:S24"/>
    <mergeCell ref="H33:H38"/>
    <mergeCell ref="J29:J30"/>
    <mergeCell ref="N27:N32"/>
    <mergeCell ref="H22:H24"/>
    <mergeCell ref="G54:J56"/>
    <mergeCell ref="N22:Q23"/>
    <mergeCell ref="J37:J38"/>
    <mergeCell ref="A13:G13"/>
    <mergeCell ref="Q49:S51"/>
    <mergeCell ref="O41:O42"/>
    <mergeCell ref="K33:M34"/>
    <mergeCell ref="A15:G15"/>
    <mergeCell ref="N9:S9"/>
    <mergeCell ref="E33:G34"/>
    <mergeCell ref="A49:D51"/>
    <mergeCell ref="D33:D34"/>
    <mergeCell ref="D22:G24"/>
    <mergeCell ref="K35:M36"/>
    <mergeCell ref="E35:G36"/>
    <mergeCell ref="A25:M25"/>
    <mergeCell ref="O27:O32"/>
    <mergeCell ref="K48:L48"/>
    <mergeCell ref="Q27:Q32"/>
    <mergeCell ref="I22:I24"/>
    <mergeCell ref="L43:M44"/>
    <mergeCell ref="P33:P38"/>
    <mergeCell ref="A26:S2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2025-12-07T06:39:17Z</dcterms:created>
  <dcterms:modified xmlns:dcterms="http://purl.org/dc/terms/" xmlns:xsi="http://www.w3.org/2001/XMLSchema-instance" xsi:type="dcterms:W3CDTF">2025-12-07T06:39:17Z</dcterms:modified>
</cp:coreProperties>
</file>