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10" fillId="0" borderId="67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Pascuals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Information Technology Support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test</t>
        </is>
      </c>
      <c r="B27" s="112" t="n"/>
      <c r="C27" s="112" t="n"/>
      <c r="D27" s="114" t="n">
        <v>0</v>
      </c>
      <c r="E27" s="115" t="inlineStr">
        <is>
          <t>test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tested</t>
        </is>
      </c>
      <c r="L27" s="112" t="n"/>
      <c r="M27" s="112" t="n"/>
      <c r="N27" s="114" t="n">
        <v>1</v>
      </c>
      <c r="O27" s="114" t="n">
        <v>1</v>
      </c>
      <c r="P27" s="114" t="n">
        <v>1</v>
      </c>
      <c r="Q27" s="114">
        <f>AVERAGE(N27, O27,P27)</f>
        <v/>
      </c>
      <c r="R27" s="114">
        <f>IF(AND(1.0&gt;=0, 1.0&lt;=1.49), "POOR", IF(AND(1.0&gt;=4.6, 1.0&lt;=5), "OUTSTANDING", IF(AND(1.0&gt;=2.5, 1.0&lt;=3.49), "SATISFACTORY", IF(AND(1.0&gt;=1.5, 1.0&lt;=2.49), "UNSATISFACTORY", IF(AND(1.0&gt;=3.5, 1.0&lt;=4.49),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0</v>
      </c>
      <c r="E29" s="115" t="inlineStr">
        <is>
          <t>minute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minute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A33" s="118" t="inlineStr">
        <is>
          <t>Scholarship Services</t>
        </is>
      </c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</row>
    <row r="34" ht="45" customHeight="1" s="73">
      <c r="A34" s="119" t="inlineStr">
        <is>
          <t>Scholarship Inquiries</t>
        </is>
      </c>
      <c r="B34" s="112" t="n"/>
      <c r="C34" s="112" t="n"/>
      <c r="D34" s="116" t="n">
        <v>0</v>
      </c>
      <c r="E34" s="120" t="inlineStr">
        <is>
          <t>process scholarship inquiries and paper</t>
        </is>
      </c>
      <c r="F34" s="112" t="n"/>
      <c r="G34" s="112" t="n"/>
      <c r="H34" s="119" t="n">
        <v>0</v>
      </c>
      <c r="I34" s="119" t="inlineStr"/>
      <c r="J34" s="116" t="n">
        <v>0</v>
      </c>
      <c r="K34" s="120" t="inlineStr">
        <is>
          <t>processed scholarship inquiries and paper</t>
        </is>
      </c>
      <c r="L34" s="112" t="n"/>
      <c r="M34" s="112" t="n"/>
      <c r="N34" s="116" t="n">
        <v>1</v>
      </c>
      <c r="O34" s="116" t="n">
        <v>1</v>
      </c>
      <c r="P34" s="116" t="n">
        <v>1</v>
      </c>
      <c r="Q34" s="116">
        <f>AVERAGE(N34, O34,P34)</f>
        <v/>
      </c>
      <c r="R34" s="116">
        <f>IF(AND(1.0&gt;=0, 1.0&lt;=1.49), "POOR", IF(AND(1.0&gt;=4.6, 1.0&lt;=5), "OUTSTANDING", IF(AND(1.0&gt;=2.5, 1.0&lt;=3.49), "SATISFACTORY", IF(AND(1.0&gt;=1.5, 1.0&lt;=2.49), "UNSATISFACTORY", IF(AND(1.0&gt;=3.5, 1.0&lt;=4.49), "VERY SATISFACTORY", "UNRATED")))))</f>
        <v/>
      </c>
      <c r="S34" s="112" t="n"/>
    </row>
    <row r="35" ht="14.25" customHeight="1" s="73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6" t="n">
        <v>0</v>
      </c>
      <c r="E36" s="120" t="inlineStr">
        <is>
          <t>month with</t>
        </is>
      </c>
      <c r="F36" s="112" t="n"/>
      <c r="G36" s="112" t="n"/>
      <c r="H36" s="112" t="n"/>
      <c r="I36" s="112" t="n"/>
      <c r="J36" s="116" t="n">
        <v>0</v>
      </c>
      <c r="K36" s="120" t="inlineStr">
        <is>
          <t>month with</t>
        </is>
      </c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6" t="n">
        <v>0</v>
      </c>
      <c r="E38" s="120" t="inlineStr">
        <is>
          <t>correction</t>
        </is>
      </c>
      <c r="F38" s="112" t="n"/>
      <c r="G38" s="112" t="n"/>
      <c r="H38" s="112" t="n"/>
      <c r="I38" s="112" t="n"/>
      <c r="J38" s="116" t="n">
        <v>0</v>
      </c>
      <c r="K38" s="120" t="inlineStr">
        <is>
          <t>correction/s</t>
        </is>
      </c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</row>
    <row r="40" ht="14.25" customHeight="1" s="73">
      <c r="A40" s="118" t="inlineStr">
        <is>
          <t>School Leadership and Management Servicess</t>
        </is>
      </c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</row>
    <row r="41" ht="45" customHeight="1" s="73">
      <c r="A41" s="119" t="inlineStr">
        <is>
          <t>Accomplishment Report</t>
        </is>
      </c>
      <c r="B41" s="112" t="n"/>
      <c r="C41" s="112" t="n"/>
      <c r="D41" s="116" t="n">
        <v>1</v>
      </c>
      <c r="E41" s="120" t="inlineStr">
        <is>
          <t>Prepare and submit Monthly Accomplishment Report to the Office of the President</t>
        </is>
      </c>
      <c r="F41" s="112" t="n"/>
      <c r="G41" s="112" t="n"/>
      <c r="H41" s="119" t="n">
        <v>0</v>
      </c>
      <c r="I41" s="119" t="inlineStr">
        <is>
          <t xml:space="preserve">Jiovannie Pareja
Ken Jhon Emil Navos
Test Test
Joash Ephraim Santos
</t>
        </is>
      </c>
      <c r="J41" s="116" t="n">
        <v>12</v>
      </c>
      <c r="K41" s="120" t="inlineStr">
        <is>
          <t>Prepared and submitted Monthly Accomplishment Report to the Office of the President</t>
        </is>
      </c>
      <c r="L41" s="112" t="n"/>
      <c r="M41" s="112" t="n"/>
      <c r="N41" s="116" t="n">
        <v>5</v>
      </c>
      <c r="O41" s="116" t="n">
        <v>2</v>
      </c>
      <c r="P41" s="116" t="n">
        <v>2</v>
      </c>
      <c r="Q41" s="116">
        <f>AVERAGE(N41, O41,P41)</f>
        <v/>
      </c>
      <c r="R41" s="116">
        <f>IF(AND(3.0&gt;=0, 3.0&lt;=1.49), "POOR", IF(AND(3.0&gt;=4.6, 3.0&lt;=5), "OUTSTANDING", IF(AND(3.0&gt;=2.5, 3.0&lt;=3.49), "SATISFACTORY", IF(AND(3.0&gt;=1.5, 3.0&lt;=2.49), "UNSATISFACTORY", IF(AND(3.0&gt;=3.5, 3.0&lt;=4.49), "VERY SATISFACTORY", "UNRATED")))))</f>
        <v/>
      </c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6" t="n">
        <v>9</v>
      </c>
      <c r="E43" s="120" t="inlineStr">
        <is>
          <t>minute with</t>
        </is>
      </c>
      <c r="F43" s="112" t="n"/>
      <c r="G43" s="112" t="n"/>
      <c r="H43" s="112" t="n"/>
      <c r="I43" s="112" t="n"/>
      <c r="J43" s="116" t="n">
        <v>11</v>
      </c>
      <c r="K43" s="120" t="inlineStr">
        <is>
          <t>minute with</t>
        </is>
      </c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12" t="n"/>
      <c r="B45" s="112" t="n"/>
      <c r="C45" s="112" t="n"/>
      <c r="D45" s="116" t="n">
        <v>0</v>
      </c>
      <c r="E45" s="120" t="inlineStr">
        <is>
          <t>error</t>
        </is>
      </c>
      <c r="F45" s="112" t="n"/>
      <c r="G45" s="112" t="n"/>
      <c r="H45" s="112" t="n"/>
      <c r="I45" s="112" t="n"/>
      <c r="J45" s="116" t="n">
        <v>0</v>
      </c>
      <c r="K45" s="120" t="inlineStr">
        <is>
          <t>error/s</t>
        </is>
      </c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14.25" customHeight="1" s="73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</row>
    <row r="47" ht="45" customHeight="1" s="73">
      <c r="A47" s="119" t="inlineStr">
        <is>
          <t>Book Acquisition</t>
        </is>
      </c>
      <c r="B47" s="112" t="n"/>
      <c r="C47" s="112" t="n"/>
      <c r="D47" s="116" t="n">
        <v>0</v>
      </c>
      <c r="E47" s="120" t="inlineStr">
        <is>
          <t>Acquire new books for the library collections and process papers</t>
        </is>
      </c>
      <c r="F47" s="112" t="n"/>
      <c r="G47" s="112" t="n"/>
      <c r="H47" s="119" t="n">
        <v>0</v>
      </c>
      <c r="I47" s="119" t="inlineStr"/>
      <c r="J47" s="116" t="n">
        <v>0</v>
      </c>
      <c r="K47" s="120" t="inlineStr">
        <is>
          <t>Acquired new books for the library collections and processed papers</t>
        </is>
      </c>
      <c r="L47" s="112" t="n"/>
      <c r="M47" s="112" t="n"/>
      <c r="N47" s="116" t="n">
        <v>1</v>
      </c>
      <c r="O47" s="116" t="n">
        <v>1</v>
      </c>
      <c r="P47" s="116" t="n">
        <v>1</v>
      </c>
      <c r="Q47" s="116">
        <f>AVERAGE(N47, O47,P47)</f>
        <v/>
      </c>
      <c r="R47" s="116">
        <f>IF(AND(1.0&gt;=0, 1.0&lt;=1.49), "POOR", IF(AND(1.0&gt;=4.6, 1.0&lt;=5), "OUTSTANDING", IF(AND(1.0&gt;=2.5, 1.0&lt;=3.49), "SATISFACTORY", IF(AND(1.0&gt;=1.5, 1.0&lt;=2.49), "UNSATISFACTORY", IF(AND(1.0&gt;=3.5, 1.0&lt;=4.49), "VERY SATISFACTORY", "UNRATED")))))</f>
        <v/>
      </c>
      <c r="S47" s="112" t="n"/>
    </row>
    <row r="48" ht="14.25" customHeight="1" s="73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</row>
    <row r="49" ht="14.25" customHeight="1" s="73">
      <c r="A49" s="112" t="n"/>
      <c r="B49" s="112" t="n"/>
      <c r="C49" s="112" t="n"/>
      <c r="D49" s="116" t="n">
        <v>0</v>
      </c>
      <c r="E49" s="120" t="inlineStr">
        <is>
          <t>day with</t>
        </is>
      </c>
      <c r="F49" s="112" t="n"/>
      <c r="G49" s="112" t="n"/>
      <c r="H49" s="112" t="n"/>
      <c r="I49" s="112" t="n"/>
      <c r="J49" s="116" t="n">
        <v>0</v>
      </c>
      <c r="K49" s="120" t="inlineStr">
        <is>
          <t>day with</t>
        </is>
      </c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6" t="n">
        <v>0</v>
      </c>
      <c r="E51" s="120" t="inlineStr">
        <is>
          <t>revision</t>
        </is>
      </c>
      <c r="F51" s="112" t="n"/>
      <c r="G51" s="112" t="n"/>
      <c r="H51" s="112" t="n"/>
      <c r="I51" s="112" t="n"/>
      <c r="J51" s="116" t="n">
        <v>0</v>
      </c>
      <c r="K51" s="120" t="inlineStr">
        <is>
          <t>revision/s</t>
        </is>
      </c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</row>
    <row r="53" ht="14.25" customHeight="1" s="73">
      <c r="K53" s="119" t="inlineStr">
        <is>
          <t>Final Average Rating</t>
        </is>
      </c>
      <c r="L53" s="112" t="n"/>
      <c r="M53" s="112" t="n"/>
      <c r="N53" s="121">
        <f>AVERAGE(N27: N47)</f>
        <v/>
      </c>
      <c r="O53" s="121">
        <f>AVERAGE(O27: O47)</f>
        <v/>
      </c>
      <c r="P53" s="121">
        <f>AVERAGE(P27: P47)</f>
        <v/>
      </c>
      <c r="Q53" s="121">
        <f>AVERAGE(Q27: Q47)</f>
        <v/>
      </c>
    </row>
    <row r="54" ht="14.25" customHeight="1" s="73">
      <c r="K54" s="112" t="n"/>
      <c r="L54" s="112" t="n"/>
      <c r="M54" s="112" t="n"/>
      <c r="N54" s="112" t="n"/>
      <c r="O54" s="112" t="n"/>
      <c r="P54" s="112" t="n"/>
      <c r="Q54" s="112" t="n"/>
    </row>
    <row r="55" ht="14.25" customHeight="1" s="73">
      <c r="K55" s="119" t="inlineStr">
        <is>
          <t>FINAL AVERAGE RATING</t>
        </is>
      </c>
      <c r="L55" s="112" t="n"/>
      <c r="M55" s="112" t="n"/>
      <c r="N55" s="122">
        <f>AVERAGE(Q26: Q47)</f>
        <v/>
      </c>
      <c r="O55" s="112" t="n"/>
      <c r="P55" s="112" t="n"/>
      <c r="Q55" s="112" t="n"/>
    </row>
    <row r="56" ht="14.25" customHeight="1" s="73">
      <c r="K56" s="112" t="n"/>
      <c r="L56" s="112" t="n"/>
      <c r="M56" s="112" t="n"/>
      <c r="N56" s="112" t="n"/>
      <c r="O56" s="112" t="n"/>
      <c r="P56" s="112" t="n"/>
      <c r="Q56" s="112" t="n"/>
    </row>
    <row r="57" ht="14.25" customHeight="1" s="73">
      <c r="K57" s="119" t="inlineStr">
        <is>
          <t>ADJECTIVAL RATING</t>
        </is>
      </c>
      <c r="L57" s="112" t="n"/>
      <c r="M57" s="112" t="n"/>
      <c r="N57" s="116">
        <f>IF(AND(Q53&gt;=0, Q53&lt;=1.49), "POOR", IF(AND(Q53&gt;=1.5, Q53&lt;=2.49), "UNSATISFACTORY", IF(AND(Q53&gt;=2.5, Q53&lt;=3.49), "SATISFACTORY", IF(AND(Q53&gt;=3.5, Q53&lt;=4.49), "VERY SATISFACTORY", IF(AND(Q53&gt;=4.5, Q53&lt;=5), "OUTSTANDING")))))</f>
        <v/>
      </c>
      <c r="O57" s="112" t="n"/>
      <c r="P57" s="112" t="n"/>
      <c r="Q57" s="112" t="n"/>
    </row>
    <row r="58" ht="14.25" customHeight="1" s="73">
      <c r="K58" s="112" t="n"/>
      <c r="L58" s="112" t="n"/>
      <c r="M58" s="112" t="n"/>
      <c r="N58" s="112" t="n"/>
      <c r="O58" s="112" t="n"/>
      <c r="P58" s="112" t="n"/>
      <c r="Q58" s="112" t="n"/>
    </row>
    <row r="59" ht="14.25" customHeight="1" s="73"/>
    <row r="60" ht="14.25" customHeight="1" s="73">
      <c r="A60" s="116" t="inlineStr">
        <is>
          <t>Discussed With</t>
        </is>
      </c>
      <c r="B60" s="112" t="n"/>
      <c r="C60" s="112" t="n"/>
      <c r="D60" s="112" t="n"/>
      <c r="E60" s="119" t="inlineStr">
        <is>
          <t>Date</t>
        </is>
      </c>
      <c r="F60" s="112" t="n"/>
      <c r="G60" s="116" t="inlineStr">
        <is>
          <t>Assessed By</t>
        </is>
      </c>
      <c r="H60" s="112" t="n"/>
      <c r="I60" s="112" t="n"/>
      <c r="J60" s="112" t="n"/>
      <c r="K60" s="119" t="inlineStr">
        <is>
          <t>Date</t>
        </is>
      </c>
      <c r="L60" s="112" t="n"/>
      <c r="M60" s="116" t="inlineStr">
        <is>
          <t>Final Rating By</t>
        </is>
      </c>
      <c r="N60" s="112" t="n"/>
      <c r="O60" s="112" t="n"/>
      <c r="P60" s="112" t="n"/>
      <c r="Q60" s="119" t="inlineStr">
        <is>
          <t>Date</t>
        </is>
      </c>
      <c r="R60" s="112" t="n"/>
      <c r="S60" s="112" t="n"/>
    </row>
    <row r="61" ht="14.25" customHeight="1" s="73">
      <c r="A61" s="123" t="inlineStr">
        <is>
          <t>Ken Jhon Emil B. Navos
Instructor I</t>
        </is>
      </c>
      <c r="B61" s="112" t="n"/>
      <c r="C61" s="112" t="n"/>
      <c r="D61" s="112" t="n"/>
      <c r="E61" s="124" t="inlineStr"/>
      <c r="F61" s="112" t="n"/>
      <c r="G61" s="123" t="inlineStr">
        <is>
          <t>Dr. Ma. Liberty DG. Pascuals
College President</t>
        </is>
      </c>
      <c r="H61" s="112" t="n"/>
      <c r="I61" s="112" t="n"/>
      <c r="J61" s="112" t="n"/>
      <c r="K61" s="124" t="inlineStr"/>
      <c r="L61" s="112" t="n"/>
      <c r="M61" s="123" t="inlineStr">
        <is>
          <t>Dr. Ma. Liberty DG. Pascuals
College President</t>
        </is>
      </c>
      <c r="N61" s="112" t="n"/>
      <c r="O61" s="112" t="n"/>
      <c r="P61" s="112" t="n"/>
      <c r="Q61" s="124" t="inlineStr"/>
      <c r="R61" s="112" t="n"/>
      <c r="S61" s="112" t="n"/>
    </row>
    <row r="62" ht="14.25" customHeight="1" s="73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</row>
    <row r="63" ht="14.25" customHeight="1" s="7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</row>
    <row r="64" ht="14.25" customHeight="1" s="73"/>
    <row r="65" ht="14.25" customHeight="1" s="73">
      <c r="G65" s="116" t="inlineStr">
        <is>
          <t>Confirmed By</t>
        </is>
      </c>
      <c r="H65" s="112" t="n"/>
      <c r="I65" s="112" t="n"/>
      <c r="J65" s="112" t="n"/>
      <c r="K65" s="119" t="inlineStr">
        <is>
          <t>Date</t>
        </is>
      </c>
      <c r="L65" s="112" t="n"/>
    </row>
    <row r="66" ht="14.25" customHeight="1" s="73">
      <c r="G66" s="123" t="inlineStr">
        <is>
          <t>Hon. Maria Elena L. Germar
PMT Chairperson</t>
        </is>
      </c>
      <c r="H66" s="112" t="n"/>
      <c r="I66" s="112" t="n"/>
      <c r="J66" s="112" t="n"/>
      <c r="K66" s="124" t="inlineStr"/>
      <c r="L66" s="112" t="n"/>
    </row>
    <row r="67" ht="14.25" customHeight="1" s="73">
      <c r="G67" s="112" t="n"/>
      <c r="H67" s="112" t="n"/>
      <c r="I67" s="112" t="n"/>
      <c r="J67" s="112" t="n"/>
      <c r="K67" s="112" t="n"/>
      <c r="L67" s="112" t="n"/>
    </row>
    <row r="68" ht="14.25" customHeight="1" s="73">
      <c r="G68" s="112" t="n"/>
      <c r="H68" s="112" t="n"/>
      <c r="I68" s="112" t="n"/>
      <c r="J68" s="112" t="n"/>
      <c r="K68" s="112" t="n"/>
      <c r="L68" s="112" t="n"/>
    </row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38">
    <mergeCell ref="A47:C52"/>
    <mergeCell ref="E47:G48"/>
    <mergeCell ref="R27:S32"/>
    <mergeCell ref="N8:S8"/>
    <mergeCell ref="D36:D37"/>
    <mergeCell ref="P34:P39"/>
    <mergeCell ref="H41:H46"/>
    <mergeCell ref="A34:C39"/>
    <mergeCell ref="D45:D46"/>
    <mergeCell ref="N53:N54"/>
    <mergeCell ref="H34:H39"/>
    <mergeCell ref="N10:S10"/>
    <mergeCell ref="D47:D48"/>
    <mergeCell ref="J36:J37"/>
    <mergeCell ref="J45:J46"/>
    <mergeCell ref="A60:D60"/>
    <mergeCell ref="O16:P16"/>
    <mergeCell ref="G61:J63"/>
    <mergeCell ref="J47:J48"/>
    <mergeCell ref="A6:S6"/>
    <mergeCell ref="A1:S1"/>
    <mergeCell ref="O47:O52"/>
    <mergeCell ref="K27:M28"/>
    <mergeCell ref="J31:J32"/>
    <mergeCell ref="N11:S11"/>
    <mergeCell ref="E49:G50"/>
    <mergeCell ref="P47:P52"/>
    <mergeCell ref="J51:J52"/>
    <mergeCell ref="D38:D39"/>
    <mergeCell ref="N55:Q56"/>
    <mergeCell ref="A27:C32"/>
    <mergeCell ref="A3:S3"/>
    <mergeCell ref="K66:L68"/>
    <mergeCell ref="R18:S18"/>
    <mergeCell ref="D34:D35"/>
    <mergeCell ref="I34:I39"/>
    <mergeCell ref="O53:O54"/>
    <mergeCell ref="Q53:Q54"/>
    <mergeCell ref="E36:G37"/>
    <mergeCell ref="D49:D50"/>
    <mergeCell ref="D27:D28"/>
    <mergeCell ref="K38:M39"/>
    <mergeCell ref="A5:S5"/>
    <mergeCell ref="J34:J35"/>
    <mergeCell ref="O34:O39"/>
    <mergeCell ref="K53:M54"/>
    <mergeCell ref="Q60:S60"/>
    <mergeCell ref="R19:S19"/>
    <mergeCell ref="A4:S4"/>
    <mergeCell ref="N41:N46"/>
    <mergeCell ref="P41:P46"/>
    <mergeCell ref="J49:J50"/>
    <mergeCell ref="J27:J28"/>
    <mergeCell ref="R16:S16"/>
    <mergeCell ref="K55:M56"/>
    <mergeCell ref="R25:S25"/>
    <mergeCell ref="A40:S40"/>
    <mergeCell ref="P27:P32"/>
    <mergeCell ref="I47:I52"/>
    <mergeCell ref="P53:P54"/>
    <mergeCell ref="Q61:S63"/>
    <mergeCell ref="E38:G39"/>
    <mergeCell ref="M60:P60"/>
    <mergeCell ref="A61:D63"/>
    <mergeCell ref="E31:G32"/>
    <mergeCell ref="E27:G28"/>
    <mergeCell ref="A12:G12"/>
    <mergeCell ref="K43:M44"/>
    <mergeCell ref="K57:M58"/>
    <mergeCell ref="Q41:Q46"/>
    <mergeCell ref="A2:S2"/>
    <mergeCell ref="G65:J65"/>
    <mergeCell ref="A14:G14"/>
    <mergeCell ref="E41:G42"/>
    <mergeCell ref="K34:M35"/>
    <mergeCell ref="J38:J39"/>
    <mergeCell ref="I27:I32"/>
    <mergeCell ref="J22:M24"/>
    <mergeCell ref="K60:L60"/>
    <mergeCell ref="G60:J60"/>
    <mergeCell ref="N47:N52"/>
    <mergeCell ref="K29:M30"/>
    <mergeCell ref="D41:D42"/>
    <mergeCell ref="R41:S46"/>
    <mergeCell ref="E29:G30"/>
    <mergeCell ref="R47:S52"/>
    <mergeCell ref="N57:Q58"/>
    <mergeCell ref="K45:M46"/>
    <mergeCell ref="A22:C24"/>
    <mergeCell ref="D43:D44"/>
    <mergeCell ref="R20:S20"/>
    <mergeCell ref="A41:C46"/>
    <mergeCell ref="E61:F63"/>
    <mergeCell ref="R17:S17"/>
    <mergeCell ref="K47:M48"/>
    <mergeCell ref="K61:L63"/>
    <mergeCell ref="D29:D30"/>
    <mergeCell ref="A7:S7"/>
    <mergeCell ref="J43:J44"/>
    <mergeCell ref="H27:H32"/>
    <mergeCell ref="K31:M32"/>
    <mergeCell ref="K65:L65"/>
    <mergeCell ref="N34:N39"/>
    <mergeCell ref="D31:D32"/>
    <mergeCell ref="R22:S24"/>
    <mergeCell ref="J29:J30"/>
    <mergeCell ref="N27:N32"/>
    <mergeCell ref="R34:S39"/>
    <mergeCell ref="H22:H24"/>
    <mergeCell ref="A33:S33"/>
    <mergeCell ref="N22:Q23"/>
    <mergeCell ref="Q47:Q52"/>
    <mergeCell ref="A13:G13"/>
    <mergeCell ref="I41:I46"/>
    <mergeCell ref="K49:M50"/>
    <mergeCell ref="E43:G44"/>
    <mergeCell ref="K36:M37"/>
    <mergeCell ref="A15:G15"/>
    <mergeCell ref="N9:S9"/>
    <mergeCell ref="K51:M52"/>
    <mergeCell ref="E60:F60"/>
    <mergeCell ref="O41:O46"/>
    <mergeCell ref="E51:G52"/>
    <mergeCell ref="E34:G35"/>
    <mergeCell ref="D22:G24"/>
    <mergeCell ref="K41:M42"/>
    <mergeCell ref="Q34:Q39"/>
    <mergeCell ref="J41:J42"/>
    <mergeCell ref="A25:M25"/>
    <mergeCell ref="O27:O32"/>
    <mergeCell ref="Q27:Q32"/>
    <mergeCell ref="I22:I24"/>
    <mergeCell ref="G66:J68"/>
    <mergeCell ref="H47:H52"/>
    <mergeCell ref="D51:D52"/>
    <mergeCell ref="M61:P63"/>
    <mergeCell ref="A26:S26"/>
    <mergeCell ref="E45:G4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2026-03-22T05:34:38Z</dcterms:created>
  <dcterms:modified xmlns:dcterms="http://purl.org/dc/terms/" xmlns:xsi="http://www.w3.org/2001/XMLSchema-instance" xsi:type="dcterms:W3CDTF">2026-03-22T05:34:38Z</dcterms:modified>
</cp:coreProperties>
</file>