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Joash Ephraim Santos,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Joash Ephraim Santos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2</v>
      </c>
      <c r="E27" s="115" t="inlineStr">
        <is>
          <t>meet with board of trustees commitee</t>
        </is>
      </c>
      <c r="F27" s="112" t="n"/>
      <c r="G27" s="112" t="n"/>
      <c r="H27" s="113" t="n">
        <v>0</v>
      </c>
      <c r="I27" s="113" t="inlineStr">
        <is>
          <t xml:space="preserve">Jiovan Pareja
Ken Jhon Emil Navos
</t>
        </is>
      </c>
      <c r="J27" s="114" t="n">
        <v>0</v>
      </c>
      <c r="K27" s="115" t="inlineStr">
        <is>
          <t>met with board of trustees committee</t>
        </is>
      </c>
      <c r="L27" s="112" t="n"/>
      <c r="M27" s="112" t="n"/>
      <c r="N27" s="114" t="n">
        <v>1</v>
      </c>
      <c r="O27" s="114" t="n">
        <v>0</v>
      </c>
      <c r="P27" s="114" t="n">
        <v>0</v>
      </c>
      <c r="Q27" s="114" t="n">
        <v>0.33</v>
      </c>
      <c r="R27" s="114">
        <f>IF(AND(0.3333333333333333&gt;=0, 0.3333333333333333&lt;=1.49), "POOR", IF(AND(0.3333333333333333&gt;=4, 0.3333333333333333&lt;=5), "OUTSTANDING", IF(AND(0.3333333333333333&gt;=2.5, 0.3333333333333333&lt;=3.49), "SATISFACTORY", IF(AND(0.3333333333333333&gt;=1.5, 0.3333333333333333&lt;=2.49), "UNSATISFACTORY", IF(AND(0.3333333333333333&gt;=3.5, 0.3333333333333333&lt;=4.49),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18" t="inlineStr">
        <is>
          <t>Accomplishment Report</t>
        </is>
      </c>
      <c r="B33" s="112" t="n"/>
      <c r="C33" s="112" t="n"/>
      <c r="D33" s="116" t="n">
        <v>2</v>
      </c>
      <c r="E33" s="119" t="inlineStr">
        <is>
          <t>Prepare and submit Monthly Accomplishment Report to the Office of the President</t>
        </is>
      </c>
      <c r="F33" s="112" t="n"/>
      <c r="G33" s="112" t="n"/>
      <c r="H33" s="118" t="n">
        <v>0</v>
      </c>
      <c r="I33" s="118" t="inlineStr">
        <is>
          <t xml:space="preserve">Joash Ephraim Santos
Ken Jhon Emil Navos
</t>
        </is>
      </c>
      <c r="J33" s="116" t="n">
        <v>0</v>
      </c>
      <c r="K33" s="119" t="inlineStr">
        <is>
          <t>Prepared and submitted Monthly Accomplishment Report to the Office of the President</t>
        </is>
      </c>
      <c r="L33" s="112" t="n"/>
      <c r="M33" s="112" t="n"/>
      <c r="N33" s="116" t="n">
        <v>0</v>
      </c>
      <c r="O33" s="116" t="n">
        <v>0</v>
      </c>
      <c r="P33" s="116" t="n">
        <v>0</v>
      </c>
      <c r="Q33" s="116" t="n">
        <v>0</v>
      </c>
      <c r="R33" s="116">
        <f>IF(AND(0.0&gt;=0, 0.0&lt;=1.49), "POOR", IF(AND(0.0&gt;=4, 0.0&lt;=5), "OUTSTANDING", IF(AND(0.0&gt;=2.5, 0.0&lt;=3.49), "SATISFACTORY", IF(AND(0.0&gt;=1.5, 0.0&lt;=2.49), "UNSATISFACTORY", IF(AND(0.0&gt;=3.5, 0.0&lt;=4.49), "VERY SATISFACTORY", "UNRATED")))))</f>
        <v/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6" t="inlineStr"/>
      <c r="E35" s="119" t="inlineStr">
        <is>
          <t>on the set deadline with</t>
        </is>
      </c>
      <c r="F35" s="112" t="n"/>
      <c r="G35" s="112" t="n"/>
      <c r="H35" s="112" t="n"/>
      <c r="I35" s="112" t="n"/>
      <c r="J35" s="116" t="n">
        <v>0</v>
      </c>
      <c r="K35" s="119" t="inlineStr">
        <is>
          <t>on the set deadline with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6" t="n">
        <v>2</v>
      </c>
      <c r="E37" s="119" t="inlineStr">
        <is>
          <t>error</t>
        </is>
      </c>
      <c r="F37" s="112" t="n"/>
      <c r="G37" s="112" t="n"/>
      <c r="H37" s="112" t="n"/>
      <c r="I37" s="112" t="n"/>
      <c r="J37" s="116" t="n">
        <v>0</v>
      </c>
      <c r="K37" s="119" t="inlineStr">
        <is>
          <t>error/s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45" customHeight="1" s="73">
      <c r="A39" s="118" t="inlineStr">
        <is>
          <t>Book Acquisition</t>
        </is>
      </c>
      <c r="B39" s="112" t="n"/>
      <c r="C39" s="112" t="n"/>
      <c r="D39" s="116" t="n">
        <v>200</v>
      </c>
      <c r="E39" s="119" t="inlineStr">
        <is>
          <t>Acquire new books for the library collections and process papers</t>
        </is>
      </c>
      <c r="F39" s="112" t="n"/>
      <c r="G39" s="112" t="n"/>
      <c r="H39" s="118" t="n">
        <v>0</v>
      </c>
      <c r="I39" s="118" t="inlineStr">
        <is>
          <t xml:space="preserve">Joash Ephraim Santos
Ken Jhon Emil Navos
</t>
        </is>
      </c>
      <c r="J39" s="116" t="n">
        <v>0</v>
      </c>
      <c r="K39" s="119" t="inlineStr">
        <is>
          <t>Acquired new books for the library collections and processed papers</t>
        </is>
      </c>
      <c r="L39" s="112" t="n"/>
      <c r="M39" s="112" t="n"/>
      <c r="N39" s="116" t="n">
        <v>0</v>
      </c>
      <c r="O39" s="116" t="n">
        <v>0</v>
      </c>
      <c r="P39" s="116" t="n">
        <v>0</v>
      </c>
      <c r="Q39" s="116" t="n">
        <v>0</v>
      </c>
      <c r="R39" s="116">
        <f>IF(AND(0.0&gt;=0, 0.0&lt;=1.49), "POOR", IF(AND(0.0&gt;=4, 0.0&lt;=5), "OUTSTANDING", IF(AND(0.0&gt;=2.5, 0.0&lt;=3.49), "SATISFACTORY", IF(AND(0.0&gt;=1.5, 0.0&lt;=2.49), "UNSATISFACTORY", IF(AND(0.0&gt;=3.5, 0.0&lt;=4.49), "VERY SATISFACTORY", "UNRATED")))))</f>
        <v/>
      </c>
      <c r="S39" s="112" t="n"/>
    </row>
    <row r="40" ht="14.25" customHeight="1" s="73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</row>
    <row r="41" ht="14.25" customHeight="1" s="73">
      <c r="A41" s="112" t="n"/>
      <c r="B41" s="112" t="n"/>
      <c r="C41" s="112" t="n"/>
      <c r="D41" s="116" t="n">
        <v>30</v>
      </c>
      <c r="E41" s="119" t="inlineStr">
        <is>
          <t>day with</t>
        </is>
      </c>
      <c r="F41" s="112" t="n"/>
      <c r="G41" s="112" t="n"/>
      <c r="H41" s="112" t="n"/>
      <c r="I41" s="112" t="n"/>
      <c r="J41" s="116" t="n">
        <v>0</v>
      </c>
      <c r="K41" s="119" t="inlineStr">
        <is>
          <t>day with</t>
        </is>
      </c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6" t="n">
        <v>2</v>
      </c>
      <c r="E43" s="119" t="inlineStr">
        <is>
          <t>revision</t>
        </is>
      </c>
      <c r="F43" s="112" t="n"/>
      <c r="G43" s="112" t="n"/>
      <c r="H43" s="112" t="n"/>
      <c r="I43" s="112" t="n"/>
      <c r="J43" s="116" t="n">
        <v>0</v>
      </c>
      <c r="K43" s="119" t="inlineStr">
        <is>
          <t>revision/s</t>
        </is>
      </c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20" t="inlineStr">
        <is>
          <t>Scholarship Services</t>
        </is>
      </c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45" customHeight="1" s="73">
      <c r="A46" s="118" t="inlineStr">
        <is>
          <t>Scholarship Inquiries</t>
        </is>
      </c>
      <c r="B46" s="112" t="n"/>
      <c r="C46" s="112" t="n"/>
      <c r="D46" s="116" t="n">
        <v>200</v>
      </c>
      <c r="E46" s="119" t="inlineStr">
        <is>
          <t>process scholarship inquiries and paper</t>
        </is>
      </c>
      <c r="F46" s="112" t="n"/>
      <c r="G46" s="112" t="n"/>
      <c r="H46" s="118" t="n">
        <v>0</v>
      </c>
      <c r="I46" s="118" t="inlineStr"/>
      <c r="J46" s="116" t="n">
        <v>0</v>
      </c>
      <c r="K46" s="119" t="inlineStr">
        <is>
          <t>processed scholarship inquiries and paper</t>
        </is>
      </c>
      <c r="L46" s="112" t="n"/>
      <c r="M46" s="112" t="n"/>
      <c r="N46" s="116" t="n">
        <v>0</v>
      </c>
      <c r="O46" s="116" t="n">
        <v>0</v>
      </c>
      <c r="P46" s="116" t="n">
        <v>0</v>
      </c>
      <c r="Q46" s="116" t="n">
        <v>0</v>
      </c>
      <c r="R46" s="116">
        <f>IF(AND(0.0&gt;=0, 0.0&lt;=1.49), "POOR", IF(AND(0.0&gt;=4, 0.0&lt;=5), "OUTSTANDING", IF(AND(0.0&gt;=2.5, 0.0&lt;=3.49), "SATISFACTORY", IF(AND(0.0&gt;=1.5, 0.0&lt;=2.49), "UNSATISFACTORY", IF(AND(0.0&gt;=3.5, 0.0&lt;=4.49), "VERY SATISFACTORY", "UNRATED")))))</f>
        <v/>
      </c>
      <c r="S46" s="112" t="n"/>
    </row>
    <row r="47" ht="14.25" customHeight="1" s="73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</row>
    <row r="48" ht="14.25" customHeight="1" s="73">
      <c r="A48" s="112" t="n"/>
      <c r="B48" s="112" t="n"/>
      <c r="C48" s="112" t="n"/>
      <c r="D48" s="116" t="n">
        <v>2</v>
      </c>
      <c r="E48" s="119" t="inlineStr">
        <is>
          <t>month with</t>
        </is>
      </c>
      <c r="F48" s="112" t="n"/>
      <c r="G48" s="112" t="n"/>
      <c r="H48" s="112" t="n"/>
      <c r="I48" s="112" t="n"/>
      <c r="J48" s="116" t="n">
        <v>0</v>
      </c>
      <c r="K48" s="119" t="inlineStr">
        <is>
          <t>month with</t>
        </is>
      </c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6" t="n">
        <v>2</v>
      </c>
      <c r="E50" s="119" t="inlineStr">
        <is>
          <t>correction</t>
        </is>
      </c>
      <c r="F50" s="112" t="n"/>
      <c r="G50" s="112" t="n"/>
      <c r="H50" s="112" t="n"/>
      <c r="I50" s="112" t="n"/>
      <c r="J50" s="116" t="n">
        <v>0</v>
      </c>
      <c r="K50" s="119" t="inlineStr">
        <is>
          <t>correction/s</t>
        </is>
      </c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K52" s="118" t="inlineStr">
        <is>
          <t>Final Average Rating</t>
        </is>
      </c>
      <c r="L52" s="112" t="n"/>
      <c r="M52" s="112" t="n"/>
      <c r="N52" s="121">
        <f>AVERAGE(N27: N46)</f>
        <v/>
      </c>
      <c r="O52" s="121">
        <f>AVERAGE(O27: O46)</f>
        <v/>
      </c>
      <c r="P52" s="121">
        <f>AVERAGE(P27: P46)</f>
        <v/>
      </c>
      <c r="Q52" s="121">
        <f>AVERAGE(Q27: Q46)</f>
        <v/>
      </c>
    </row>
    <row r="53" ht="14.25" customHeight="1" s="73">
      <c r="K53" s="112" t="n"/>
      <c r="L53" s="112" t="n"/>
      <c r="M53" s="112" t="n"/>
      <c r="N53" s="112" t="n"/>
      <c r="O53" s="112" t="n"/>
      <c r="P53" s="112" t="n"/>
      <c r="Q53" s="112" t="n"/>
    </row>
    <row r="54" ht="14.25" customHeight="1" s="73">
      <c r="K54" s="118" t="inlineStr">
        <is>
          <t>FINAL AVERAGE RATING</t>
        </is>
      </c>
      <c r="L54" s="112" t="n"/>
      <c r="M54" s="112" t="n"/>
      <c r="N54" s="122">
        <f>AVERAGE(Q26: Q46)</f>
        <v/>
      </c>
      <c r="O54" s="112" t="n"/>
      <c r="P54" s="112" t="n"/>
      <c r="Q54" s="112" t="n"/>
    </row>
    <row r="55" ht="14.25" customHeight="1" s="73">
      <c r="K55" s="112" t="n"/>
      <c r="L55" s="112" t="n"/>
      <c r="M55" s="112" t="n"/>
      <c r="N55" s="112" t="n"/>
      <c r="O55" s="112" t="n"/>
      <c r="P55" s="112" t="n"/>
      <c r="Q55" s="112" t="n"/>
    </row>
    <row r="56" ht="14.25" customHeight="1" s="73">
      <c r="K56" s="118" t="inlineStr">
        <is>
          <t>ADJECTIVAL RATING</t>
        </is>
      </c>
      <c r="L56" s="112" t="n"/>
      <c r="M56" s="112" t="n"/>
      <c r="N56" s="116">
        <f>IF(AND(Q52&gt;=0, Q52&lt;=1.49), "POOR", IF(AND(Q52&gt;=1.5, Q52&lt;=2.49), "UNSATISFACTORY", IF(AND(Q52&gt;=2.5, Q52&lt;=3.49), "SATISFACTORY", IF(AND(Q52&gt;=3.5, Q52&lt;=4.49), "VERY SATISFACTORY", IF(AND(Q52&gt;=4.5, Q52&lt;=5), "OUTSTANDING")))))</f>
        <v/>
      </c>
      <c r="O56" s="112" t="n"/>
      <c r="P56" s="112" t="n"/>
      <c r="Q56" s="112" t="n"/>
    </row>
    <row r="57" ht="14.25" customHeight="1" s="73">
      <c r="K57" s="112" t="n"/>
      <c r="L57" s="112" t="n"/>
      <c r="M57" s="112" t="n"/>
      <c r="N57" s="112" t="n"/>
      <c r="O57" s="112" t="n"/>
      <c r="P57" s="112" t="n"/>
      <c r="Q57" s="112" t="n"/>
    </row>
    <row r="58" ht="14.25" customHeight="1" s="73"/>
    <row r="59" ht="14.25" customHeight="1" s="73">
      <c r="A59" s="116" t="inlineStr">
        <is>
          <t>Discussed With</t>
        </is>
      </c>
      <c r="B59" s="112" t="n"/>
      <c r="C59" s="112" t="n"/>
      <c r="D59" s="112" t="n"/>
      <c r="E59" s="118" t="inlineStr">
        <is>
          <t>Date</t>
        </is>
      </c>
      <c r="F59" s="112" t="n"/>
      <c r="G59" s="116" t="inlineStr">
        <is>
          <t>Assessed By</t>
        </is>
      </c>
      <c r="H59" s="112" t="n"/>
      <c r="I59" s="112" t="n"/>
      <c r="J59" s="112" t="n"/>
      <c r="K59" s="118" t="inlineStr">
        <is>
          <t>Date</t>
        </is>
      </c>
      <c r="L59" s="112" t="n"/>
      <c r="M59" s="116" t="inlineStr">
        <is>
          <t>Final Rating By</t>
        </is>
      </c>
      <c r="N59" s="112" t="n"/>
      <c r="O59" s="112" t="n"/>
      <c r="P59" s="112" t="n"/>
      <c r="Q59" s="118" t="inlineStr">
        <is>
          <t>Date</t>
        </is>
      </c>
      <c r="R59" s="112" t="n"/>
      <c r="S59" s="112" t="n"/>
    </row>
    <row r="60" ht="14.25" customHeight="1" s="73">
      <c r="A60" s="123" t="inlineStr">
        <is>
          <t>Joash Ephraim D. Santos
Instructor I</t>
        </is>
      </c>
      <c r="B60" s="112" t="n"/>
      <c r="C60" s="112" t="n"/>
      <c r="D60" s="112" t="n"/>
      <c r="E60" s="124" t="inlineStr"/>
      <c r="F60" s="112" t="n"/>
      <c r="G60" s="123" t="inlineStr">
        <is>
          <t>Dr. Ma. Liberty DG. Pascual
College President</t>
        </is>
      </c>
      <c r="H60" s="112" t="n"/>
      <c r="I60" s="112" t="n"/>
      <c r="J60" s="112" t="n"/>
      <c r="K60" s="124" t="inlineStr"/>
      <c r="L60" s="112" t="n"/>
      <c r="M60" s="123" t="inlineStr">
        <is>
          <t>Dr. Ma. Liberty DG. Pascual
College President</t>
        </is>
      </c>
      <c r="N60" s="112" t="n"/>
      <c r="O60" s="112" t="n"/>
      <c r="P60" s="112" t="n"/>
      <c r="Q60" s="124" t="inlineStr"/>
      <c r="R60" s="112" t="n"/>
      <c r="S60" s="112" t="n"/>
    </row>
    <row r="61" ht="14.25" customHeight="1" s="73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</row>
    <row r="62" ht="14.25" customHeight="1" s="73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</row>
    <row r="63" ht="14.25" customHeight="1" s="73"/>
    <row r="64" ht="14.25" customHeight="1" s="73">
      <c r="G64" s="116" t="inlineStr">
        <is>
          <t>Confirmed By</t>
        </is>
      </c>
      <c r="H64" s="112" t="n"/>
      <c r="I64" s="112" t="n"/>
      <c r="J64" s="112" t="n"/>
      <c r="K64" s="118" t="inlineStr">
        <is>
          <t>Date</t>
        </is>
      </c>
      <c r="L64" s="112" t="n"/>
    </row>
    <row r="65" ht="14.25" customHeight="1" s="73">
      <c r="G65" s="123" t="inlineStr">
        <is>
          <t>Hon. Maria Elena L. Germar
PMT Chairperson</t>
        </is>
      </c>
      <c r="H65" s="112" t="n"/>
      <c r="I65" s="112" t="n"/>
      <c r="J65" s="112" t="n"/>
      <c r="K65" s="124" t="inlineStr"/>
      <c r="L65" s="112" t="n"/>
    </row>
    <row r="66" ht="14.25" customHeight="1" s="73">
      <c r="G66" s="112" t="n"/>
      <c r="H66" s="112" t="n"/>
      <c r="I66" s="112" t="n"/>
      <c r="J66" s="112" t="n"/>
      <c r="K66" s="112" t="n"/>
      <c r="L66" s="112" t="n"/>
    </row>
    <row r="67" ht="14.25" customHeight="1" s="73">
      <c r="G67" s="112" t="n"/>
      <c r="H67" s="112" t="n"/>
      <c r="I67" s="112" t="n"/>
      <c r="J67" s="112" t="n"/>
      <c r="K67" s="112" t="n"/>
      <c r="L67" s="112" t="n"/>
    </row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37">
    <mergeCell ref="K65:L67"/>
    <mergeCell ref="O39:O44"/>
    <mergeCell ref="R27:S32"/>
    <mergeCell ref="N8:S8"/>
    <mergeCell ref="E37:G38"/>
    <mergeCell ref="N10:S10"/>
    <mergeCell ref="H39:H44"/>
    <mergeCell ref="E39:G40"/>
    <mergeCell ref="K54:M55"/>
    <mergeCell ref="E48:G49"/>
    <mergeCell ref="M59:P59"/>
    <mergeCell ref="O16:P16"/>
    <mergeCell ref="N39:N44"/>
    <mergeCell ref="P39:P44"/>
    <mergeCell ref="A6:S6"/>
    <mergeCell ref="A1:S1"/>
    <mergeCell ref="A60:D62"/>
    <mergeCell ref="K27:M28"/>
    <mergeCell ref="I33:I38"/>
    <mergeCell ref="J31:J32"/>
    <mergeCell ref="R39:S44"/>
    <mergeCell ref="N11:S11"/>
    <mergeCell ref="D35:D36"/>
    <mergeCell ref="K52:M53"/>
    <mergeCell ref="A27:C32"/>
    <mergeCell ref="A3:S3"/>
    <mergeCell ref="R18:S18"/>
    <mergeCell ref="A46:C51"/>
    <mergeCell ref="N54:Q55"/>
    <mergeCell ref="A33:C38"/>
    <mergeCell ref="E50:G51"/>
    <mergeCell ref="D27:D28"/>
    <mergeCell ref="A5:S5"/>
    <mergeCell ref="N56:Q57"/>
    <mergeCell ref="R19:S19"/>
    <mergeCell ref="A4:S4"/>
    <mergeCell ref="K64:L64"/>
    <mergeCell ref="J27:J28"/>
    <mergeCell ref="K37:M38"/>
    <mergeCell ref="R16:S16"/>
    <mergeCell ref="Q59:S59"/>
    <mergeCell ref="N52:N53"/>
    <mergeCell ref="G60:J62"/>
    <mergeCell ref="R25:S25"/>
    <mergeCell ref="P52:P53"/>
    <mergeCell ref="Q39:Q44"/>
    <mergeCell ref="A59:D59"/>
    <mergeCell ref="A39:C44"/>
    <mergeCell ref="N33:N38"/>
    <mergeCell ref="P27:P32"/>
    <mergeCell ref="J35:J36"/>
    <mergeCell ref="D37:D38"/>
    <mergeCell ref="O46:O51"/>
    <mergeCell ref="K56:M57"/>
    <mergeCell ref="Q46:Q51"/>
    <mergeCell ref="D39:D40"/>
    <mergeCell ref="E31:G32"/>
    <mergeCell ref="E46:G47"/>
    <mergeCell ref="E27:G28"/>
    <mergeCell ref="A12:G12"/>
    <mergeCell ref="K43:M44"/>
    <mergeCell ref="G65:J67"/>
    <mergeCell ref="J39:J40"/>
    <mergeCell ref="A2:S2"/>
    <mergeCell ref="J48:J49"/>
    <mergeCell ref="A14:G14"/>
    <mergeCell ref="E41:G42"/>
    <mergeCell ref="Q52:Q53"/>
    <mergeCell ref="I27:I32"/>
    <mergeCell ref="O33:O38"/>
    <mergeCell ref="Q60:S62"/>
    <mergeCell ref="J22:M24"/>
    <mergeCell ref="Q33:Q38"/>
    <mergeCell ref="N46:N51"/>
    <mergeCell ref="K29:M30"/>
    <mergeCell ref="D41:D42"/>
    <mergeCell ref="G59:J59"/>
    <mergeCell ref="E29:G30"/>
    <mergeCell ref="E59:F59"/>
    <mergeCell ref="A22:C24"/>
    <mergeCell ref="D43:D44"/>
    <mergeCell ref="R20:S20"/>
    <mergeCell ref="J50:J51"/>
    <mergeCell ref="I39:I44"/>
    <mergeCell ref="R33:S38"/>
    <mergeCell ref="R17:S17"/>
    <mergeCell ref="D29:D30"/>
    <mergeCell ref="A7:S7"/>
    <mergeCell ref="J43:J44"/>
    <mergeCell ref="H27:H32"/>
    <mergeCell ref="K31:M32"/>
    <mergeCell ref="K46:M47"/>
    <mergeCell ref="J33:J34"/>
    <mergeCell ref="D31:D32"/>
    <mergeCell ref="R22:S24"/>
    <mergeCell ref="H33:H38"/>
    <mergeCell ref="J29:J30"/>
    <mergeCell ref="K48:M49"/>
    <mergeCell ref="N27:N32"/>
    <mergeCell ref="I46:I51"/>
    <mergeCell ref="H22:H24"/>
    <mergeCell ref="G64:J64"/>
    <mergeCell ref="N22:Q23"/>
    <mergeCell ref="J37:J38"/>
    <mergeCell ref="D46:D47"/>
    <mergeCell ref="A13:G13"/>
    <mergeCell ref="K60:L62"/>
    <mergeCell ref="D48:D49"/>
    <mergeCell ref="E60:F62"/>
    <mergeCell ref="E43:G44"/>
    <mergeCell ref="K33:M34"/>
    <mergeCell ref="A15:G15"/>
    <mergeCell ref="P46:P51"/>
    <mergeCell ref="N9:S9"/>
    <mergeCell ref="H46:H51"/>
    <mergeCell ref="E33:G34"/>
    <mergeCell ref="R46:S51"/>
    <mergeCell ref="D33:D34"/>
    <mergeCell ref="K59:L59"/>
    <mergeCell ref="D22:G24"/>
    <mergeCell ref="K41:M42"/>
    <mergeCell ref="A45:S45"/>
    <mergeCell ref="K35:M36"/>
    <mergeCell ref="K50:M51"/>
    <mergeCell ref="O52:O53"/>
    <mergeCell ref="E35:G36"/>
    <mergeCell ref="D50:D51"/>
    <mergeCell ref="J41:J42"/>
    <mergeCell ref="J46:J47"/>
    <mergeCell ref="M60:P62"/>
    <mergeCell ref="A25:M25"/>
    <mergeCell ref="O27:O32"/>
    <mergeCell ref="Q27:Q32"/>
    <mergeCell ref="I22:I24"/>
    <mergeCell ref="K39:M40"/>
    <mergeCell ref="P33:P38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2026-02-21T15:03:33Z</dcterms:created>
  <dcterms:modified xmlns:dcterms="http://purl.org/dc/terms/" xmlns:xsi="http://www.w3.org/2001/XMLSchema-instance" xsi:type="dcterms:W3CDTF">2026-02-21T15:03:34Z</dcterms:modified>
</cp:coreProperties>
</file>